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ml.chartshape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msha\Downloads\"/>
    </mc:Choice>
  </mc:AlternateContent>
  <xr:revisionPtr revIDLastSave="0" documentId="13_ncr:1_{853F7810-AF18-48CA-BCFD-27E323436D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venue Data" sheetId="1" r:id="rId1"/>
    <sheet name="Sheet1" sheetId="2" r:id="rId2"/>
  </sheets>
  <definedNames>
    <definedName name="_xlnm._FilterDatabase" localSheetId="0" hidden="1">'Revenue Data'!$B$1:$K$25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7" i="2" l="1"/>
  <c r="F28" i="2"/>
  <c r="F29" i="2"/>
  <c r="F26" i="2"/>
  <c r="E27" i="2"/>
  <c r="E28" i="2"/>
  <c r="E29" i="2"/>
  <c r="E26" i="2"/>
  <c r="E16" i="2"/>
  <c r="E13" i="2"/>
  <c r="E11" i="2"/>
  <c r="E9" i="2"/>
  <c r="D27" i="2"/>
  <c r="D28" i="2"/>
  <c r="D29" i="2"/>
  <c r="D26" i="2"/>
  <c r="D5" i="2"/>
  <c r="G5" i="1"/>
  <c r="C27" i="2"/>
  <c r="C28" i="2"/>
  <c r="C29" i="2"/>
  <c r="C26" i="2"/>
  <c r="B27" i="2"/>
  <c r="B28" i="2"/>
  <c r="B29" i="2"/>
  <c r="B26" i="2"/>
  <c r="K27" i="1"/>
  <c r="K28" i="1"/>
  <c r="K29" i="1"/>
  <c r="K26" i="1"/>
  <c r="I27" i="1"/>
  <c r="I28" i="1"/>
  <c r="I29" i="1"/>
  <c r="I26" i="1"/>
  <c r="G28" i="1"/>
  <c r="G27" i="1"/>
  <c r="G29" i="1"/>
  <c r="G26" i="1"/>
  <c r="E27" i="1"/>
  <c r="E28" i="1"/>
  <c r="E29" i="1"/>
  <c r="E26" i="1"/>
  <c r="C26" i="1"/>
  <c r="C29" i="1"/>
  <c r="C27" i="1"/>
  <c r="C28" i="1"/>
  <c r="H21" i="1"/>
  <c r="F21" i="1"/>
  <c r="D21" i="1"/>
  <c r="H25" i="1"/>
  <c r="F25" i="1"/>
  <c r="D25" i="1"/>
  <c r="L25" i="1"/>
  <c r="L21" i="1"/>
  <c r="L17" i="1"/>
  <c r="J25" i="1"/>
  <c r="J21" i="1"/>
  <c r="D5" i="1"/>
  <c r="E5" i="1"/>
  <c r="F5" i="1" s="1"/>
  <c r="J5" i="1"/>
  <c r="L5" i="1"/>
  <c r="H17" i="1"/>
  <c r="D17" i="1"/>
  <c r="H13" i="1"/>
  <c r="D13" i="1"/>
  <c r="L9" i="1"/>
  <c r="H9" i="1"/>
  <c r="D9" i="1"/>
  <c r="E10" i="1"/>
  <c r="F13" i="1" s="1"/>
  <c r="F9" i="1" l="1"/>
  <c r="E14" i="1"/>
  <c r="F17" i="1" l="1"/>
  <c r="H5" i="1" l="1"/>
  <c r="I16" i="1"/>
  <c r="J17" i="1" s="1"/>
  <c r="I13" i="1"/>
  <c r="I11" i="1"/>
  <c r="J13" i="1" l="1"/>
  <c r="I9" i="1"/>
  <c r="J9" i="1" s="1"/>
  <c r="K13" i="1" l="1"/>
  <c r="L13" i="1" s="1"/>
</calcChain>
</file>

<file path=xl/sharedStrings.xml><?xml version="1.0" encoding="utf-8"?>
<sst xmlns="http://schemas.openxmlformats.org/spreadsheetml/2006/main" count="69" uniqueCount="61">
  <si>
    <t>Product A</t>
  </si>
  <si>
    <t>Product B</t>
  </si>
  <si>
    <t>Product C</t>
  </si>
  <si>
    <t>Product D</t>
  </si>
  <si>
    <t>Product E</t>
  </si>
  <si>
    <t>Year 1 Q3 march</t>
  </si>
  <si>
    <t>Year 1 Q4 April</t>
  </si>
  <si>
    <t>Year 2 Q2 feb</t>
  </si>
  <si>
    <t>Year 2 Q4 april</t>
  </si>
  <si>
    <t>Year 3 Q1 jan</t>
  </si>
  <si>
    <t>Year 3 Q2 feb</t>
  </si>
  <si>
    <t>Year 3 Q4 april</t>
  </si>
  <si>
    <t>Year 4 Q1 jan</t>
  </si>
  <si>
    <t>Year 4 Q2 Feb</t>
  </si>
  <si>
    <t>Year 4 Q3 march</t>
  </si>
  <si>
    <t>Year 4 Q4 april</t>
  </si>
  <si>
    <t>Year 5 Q1 jan</t>
  </si>
  <si>
    <t>Year 5 Q2 feb</t>
  </si>
  <si>
    <t>Year 5 Q3 march</t>
  </si>
  <si>
    <t>Year 6 Q1 jan</t>
  </si>
  <si>
    <t>Year 6 Q2 feb</t>
  </si>
  <si>
    <t>Year 6 Q3 march</t>
  </si>
  <si>
    <t>Year 6 Q4 april</t>
  </si>
  <si>
    <t>Year 1 Q1 jan</t>
  </si>
  <si>
    <t>Year 1 Q2 feb</t>
  </si>
  <si>
    <t>Year 2 Q1 jan</t>
  </si>
  <si>
    <t>Year 2 Q3 march</t>
  </si>
  <si>
    <t>Year 3 Q3 march</t>
  </si>
  <si>
    <t>YEAR</t>
  </si>
  <si>
    <t>2020-Q1-January</t>
  </si>
  <si>
    <t xml:space="preserve">Year 7 Q1 </t>
  </si>
  <si>
    <t xml:space="preserve">Year 7 Q2 </t>
  </si>
  <si>
    <t xml:space="preserve">Year 7 Q3 </t>
  </si>
  <si>
    <t xml:space="preserve">Year 7 Q4 </t>
  </si>
  <si>
    <t xml:space="preserve">Year 1 Q1 </t>
  </si>
  <si>
    <t xml:space="preserve">Year 1 Q2 </t>
  </si>
  <si>
    <t xml:space="preserve">Year 1 Q3 </t>
  </si>
  <si>
    <t xml:space="preserve">Year 1 Q4 </t>
  </si>
  <si>
    <t xml:space="preserve">Year 2 Q1 </t>
  </si>
  <si>
    <t xml:space="preserve">Year 2 Q2 </t>
  </si>
  <si>
    <t xml:space="preserve">Year 2 Q3 </t>
  </si>
  <si>
    <t xml:space="preserve">Year 2 Q4 </t>
  </si>
  <si>
    <t xml:space="preserve">Year 3 Q1 </t>
  </si>
  <si>
    <t xml:space="preserve">Year 3 Q2 </t>
  </si>
  <si>
    <t xml:space="preserve">Year 3 Q3 </t>
  </si>
  <si>
    <t xml:space="preserve">Year 3 Q4 </t>
  </si>
  <si>
    <t xml:space="preserve">Year 4 Q1 </t>
  </si>
  <si>
    <t xml:space="preserve">Year 4 Q2 </t>
  </si>
  <si>
    <t xml:space="preserve">Year 4 Q3 </t>
  </si>
  <si>
    <t xml:space="preserve">Year 4 Q4 </t>
  </si>
  <si>
    <t xml:space="preserve">Year 5 Q1 </t>
  </si>
  <si>
    <t xml:space="preserve">Year 5 Q2 </t>
  </si>
  <si>
    <t xml:space="preserve">Year 5 Q3 </t>
  </si>
  <si>
    <t xml:space="preserve">Year 6 Q1 </t>
  </si>
  <si>
    <t xml:space="preserve">Year 6 Q2 </t>
  </si>
  <si>
    <t xml:space="preserve">Year 6 Q3 </t>
  </si>
  <si>
    <t xml:space="preserve">Year 6 Q4 </t>
  </si>
  <si>
    <t xml:space="preserve"> Year 7 Q1</t>
  </si>
  <si>
    <t xml:space="preserve"> Year 7 Q2</t>
  </si>
  <si>
    <t xml:space="preserve"> Year 7 Q3</t>
  </si>
  <si>
    <t xml:space="preserve"> Year 7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</si>
</sst>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595959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3" fontId="0" fillId="0" borderId="0" xfId="0" applyNumberFormat="1"/>
    <xf numFmtId="1" fontId="0" fillId="0" borderId="0" xfId="0" applyNumberFormat="1"/>
    <xf numFmtId="0" fontId="1" fillId="0" borderId="0" xfId="0" applyFont="1" applyAlignment="1">
      <alignment horizontal="center" vertical="top"/>
    </xf>
    <xf numFmtId="0" fontId="0" fillId="0" borderId="1" xfId="0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3" fontId="0" fillId="0" borderId="2" xfId="0" applyNumberFormat="1" applyBorder="1"/>
    <xf numFmtId="0" fontId="1" fillId="0" borderId="3" xfId="0" applyFont="1" applyBorder="1" applyAlignment="1">
      <alignment horizontal="center" vertical="top"/>
    </xf>
    <xf numFmtId="3" fontId="0" fillId="0" borderId="4" xfId="0" applyNumberFormat="1" applyBorder="1"/>
    <xf numFmtId="0" fontId="0" fillId="0" borderId="4" xfId="0" applyBorder="1"/>
    <xf numFmtId="3" fontId="0" fillId="2" borderId="4" xfId="0" applyNumberFormat="1" applyFill="1" applyBorder="1"/>
    <xf numFmtId="164" fontId="0" fillId="0" borderId="0" xfId="1" applyNumberFormat="1" applyFont="1"/>
    <xf numFmtId="164" fontId="0" fillId="2" borderId="0" xfId="1" applyNumberFormat="1" applyFont="1" applyFill="1"/>
    <xf numFmtId="164" fontId="0" fillId="3" borderId="0" xfId="1" applyNumberFormat="1" applyFont="1" applyFill="1"/>
    <xf numFmtId="0" fontId="1" fillId="0" borderId="5" xfId="0" applyFont="1" applyBorder="1" applyAlignment="1">
      <alignment horizontal="center" vertical="top"/>
    </xf>
    <xf numFmtId="3" fontId="0" fillId="3" borderId="0" xfId="0" applyNumberFormat="1" applyFill="1"/>
    <xf numFmtId="164" fontId="0" fillId="3" borderId="0" xfId="1" applyNumberFormat="1" applyFont="1" applyFill="1" applyBorder="1"/>
    <xf numFmtId="3" fontId="0" fillId="0" borderId="0" xfId="0" applyNumberFormat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0" fillId="4" borderId="0" xfId="0" applyFill="1"/>
    <xf numFmtId="164" fontId="0" fillId="0" borderId="0" xfId="1" applyNumberFormat="1" applyFont="1" applyBorder="1"/>
    <xf numFmtId="164" fontId="3" fillId="0" borderId="0" xfId="1" applyNumberFormat="1" applyFont="1" applyAlignment="1">
      <alignment horizontal="center" vertical="center" readingOrder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94792804184148E-2"/>
          <c:y val="0.20042857142857143"/>
          <c:w val="0.90712742111615607"/>
          <c:h val="0.52361042369703792"/>
        </c:manualLayout>
      </c:layout>
      <c:lineChart>
        <c:grouping val="standard"/>
        <c:varyColors val="0"/>
        <c:ser>
          <c:idx val="0"/>
          <c:order val="0"/>
          <c:tx>
            <c:strRef>
              <c:f>'Revenue Data'!$C$1</c:f>
              <c:strCache>
                <c:ptCount val="1"/>
                <c:pt idx="0">
                  <c:v>Product 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forward val="4"/>
            <c:dispRSqr val="1"/>
            <c:dispEq val="1"/>
            <c:trendlineLbl>
              <c:layout>
                <c:manualLayout>
                  <c:x val="-7.3764871544341623E-2"/>
                  <c:y val="0.2010078740157480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'Revenue Data'!$B$2:$B$25</c:f>
              <c:strCache>
                <c:ptCount val="24"/>
                <c:pt idx="0">
                  <c:v>Year 1 Q1 jan</c:v>
                </c:pt>
                <c:pt idx="1">
                  <c:v>Year 1 Q2 feb</c:v>
                </c:pt>
                <c:pt idx="2">
                  <c:v>Year 1 Q3 march</c:v>
                </c:pt>
                <c:pt idx="3">
                  <c:v>Year 1 Q4 April</c:v>
                </c:pt>
                <c:pt idx="4">
                  <c:v>Year 2 Q1 jan</c:v>
                </c:pt>
                <c:pt idx="5">
                  <c:v>Year 2 Q2 feb</c:v>
                </c:pt>
                <c:pt idx="6">
                  <c:v>Year 2 Q3 march</c:v>
                </c:pt>
                <c:pt idx="7">
                  <c:v>Year 2 Q4 april</c:v>
                </c:pt>
                <c:pt idx="8">
                  <c:v>Year 3 Q1 jan</c:v>
                </c:pt>
                <c:pt idx="9">
                  <c:v>Year 3 Q2 feb</c:v>
                </c:pt>
                <c:pt idx="10">
                  <c:v>Year 3 Q3 march</c:v>
                </c:pt>
                <c:pt idx="11">
                  <c:v>Year 3 Q4 april</c:v>
                </c:pt>
                <c:pt idx="12">
                  <c:v>Year 4 Q1 jan</c:v>
                </c:pt>
                <c:pt idx="13">
                  <c:v>Year 4 Q2 Feb</c:v>
                </c:pt>
                <c:pt idx="14">
                  <c:v>Year 4 Q3 march</c:v>
                </c:pt>
                <c:pt idx="15">
                  <c:v>Year 4 Q4 april</c:v>
                </c:pt>
                <c:pt idx="16">
                  <c:v>Year 5 Q1 jan</c:v>
                </c:pt>
                <c:pt idx="17">
                  <c:v>Year 5 Q2 feb</c:v>
                </c:pt>
                <c:pt idx="18">
                  <c:v>Year 5 Q3 march</c:v>
                </c:pt>
                <c:pt idx="19">
                  <c:v>Year 1 Q1 jan</c:v>
                </c:pt>
                <c:pt idx="20">
                  <c:v>Year 6 Q1 jan</c:v>
                </c:pt>
                <c:pt idx="21">
                  <c:v>Year 6 Q2 feb</c:v>
                </c:pt>
                <c:pt idx="22">
                  <c:v>Year 6 Q3 march</c:v>
                </c:pt>
                <c:pt idx="23">
                  <c:v>Year 6 Q4 april</c:v>
                </c:pt>
              </c:strCache>
            </c:strRef>
          </c:cat>
          <c:val>
            <c:numRef>
              <c:f>'Revenue Data'!$C$2:$C$25</c:f>
              <c:numCache>
                <c:formatCode>#,##0</c:formatCode>
                <c:ptCount val="24"/>
                <c:pt idx="0">
                  <c:v>5269</c:v>
                </c:pt>
                <c:pt idx="1">
                  <c:v>5795</c:v>
                </c:pt>
                <c:pt idx="2">
                  <c:v>6179</c:v>
                </c:pt>
                <c:pt idx="3">
                  <c:v>6438</c:v>
                </c:pt>
                <c:pt idx="4">
                  <c:v>6253</c:v>
                </c:pt>
                <c:pt idx="5">
                  <c:v>7331</c:v>
                </c:pt>
                <c:pt idx="6">
                  <c:v>7248</c:v>
                </c:pt>
                <c:pt idx="7">
                  <c:v>8770</c:v>
                </c:pt>
                <c:pt idx="8">
                  <c:v>6941</c:v>
                </c:pt>
                <c:pt idx="9">
                  <c:v>7757</c:v>
                </c:pt>
                <c:pt idx="10" formatCode="0">
                  <c:v>8621</c:v>
                </c:pt>
                <c:pt idx="11">
                  <c:v>8121</c:v>
                </c:pt>
                <c:pt idx="12">
                  <c:v>9478</c:v>
                </c:pt>
                <c:pt idx="13" formatCode="0">
                  <c:v>8621.75</c:v>
                </c:pt>
                <c:pt idx="14">
                  <c:v>9056</c:v>
                </c:pt>
                <c:pt idx="15">
                  <c:v>10406</c:v>
                </c:pt>
                <c:pt idx="16">
                  <c:v>13014</c:v>
                </c:pt>
                <c:pt idx="17">
                  <c:v>11051</c:v>
                </c:pt>
                <c:pt idx="18">
                  <c:v>9121</c:v>
                </c:pt>
                <c:pt idx="19">
                  <c:v>8621.75</c:v>
                </c:pt>
                <c:pt idx="20">
                  <c:v>11813</c:v>
                </c:pt>
                <c:pt idx="21">
                  <c:v>10103</c:v>
                </c:pt>
                <c:pt idx="22">
                  <c:v>12291</c:v>
                </c:pt>
                <c:pt idx="23">
                  <c:v>8622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C3-4514-9302-BADB7BBD94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0684655"/>
        <c:axId val="1970685135"/>
      </c:lineChart>
      <c:catAx>
        <c:axId val="1970684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685135"/>
        <c:crosses val="autoZero"/>
        <c:auto val="1"/>
        <c:lblAlgn val="ctr"/>
        <c:lblOffset val="100"/>
        <c:noMultiLvlLbl val="0"/>
      </c:catAx>
      <c:valAx>
        <c:axId val="1970685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684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811599240393305"/>
          <c:y val="0.16445458779432418"/>
          <c:w val="0.8918840075960669"/>
          <c:h val="0.51194159497310665"/>
        </c:manualLayout>
      </c:layout>
      <c:lineChart>
        <c:grouping val="standard"/>
        <c:varyColors val="0"/>
        <c:ser>
          <c:idx val="0"/>
          <c:order val="0"/>
          <c:tx>
            <c:strRef>
              <c:f>'Revenue Data'!$E$1</c:f>
              <c:strCache>
                <c:ptCount val="1"/>
                <c:pt idx="0">
                  <c:v>Product 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forward val="4"/>
            <c:dispRSqr val="1"/>
            <c:dispEq val="1"/>
            <c:trendlineLbl>
              <c:layout>
                <c:manualLayout>
                  <c:x val="-7.9678580586605985E-2"/>
                  <c:y val="-0.6221173843235672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   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4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'Revenue Data'!$B$2:$B$29</c:f>
              <c:strCache>
                <c:ptCount val="28"/>
                <c:pt idx="0">
                  <c:v>Year 1 Q1 jan</c:v>
                </c:pt>
                <c:pt idx="1">
                  <c:v>Year 1 Q2 feb</c:v>
                </c:pt>
                <c:pt idx="2">
                  <c:v>Year 1 Q3 march</c:v>
                </c:pt>
                <c:pt idx="3">
                  <c:v>Year 1 Q4 April</c:v>
                </c:pt>
                <c:pt idx="4">
                  <c:v>Year 2 Q1 jan</c:v>
                </c:pt>
                <c:pt idx="5">
                  <c:v>Year 2 Q2 feb</c:v>
                </c:pt>
                <c:pt idx="6">
                  <c:v>Year 2 Q3 march</c:v>
                </c:pt>
                <c:pt idx="7">
                  <c:v>Year 2 Q4 april</c:v>
                </c:pt>
                <c:pt idx="8">
                  <c:v>Year 3 Q1 jan</c:v>
                </c:pt>
                <c:pt idx="9">
                  <c:v>Year 3 Q2 feb</c:v>
                </c:pt>
                <c:pt idx="10">
                  <c:v>Year 3 Q3 march</c:v>
                </c:pt>
                <c:pt idx="11">
                  <c:v>Year 3 Q4 april</c:v>
                </c:pt>
                <c:pt idx="12">
                  <c:v>Year 4 Q1 jan</c:v>
                </c:pt>
                <c:pt idx="13">
                  <c:v>Year 4 Q2 Feb</c:v>
                </c:pt>
                <c:pt idx="14">
                  <c:v>Year 4 Q3 march</c:v>
                </c:pt>
                <c:pt idx="15">
                  <c:v>Year 4 Q4 april</c:v>
                </c:pt>
                <c:pt idx="16">
                  <c:v>Year 5 Q1 jan</c:v>
                </c:pt>
                <c:pt idx="17">
                  <c:v>Year 5 Q2 feb</c:v>
                </c:pt>
                <c:pt idx="18">
                  <c:v>Year 5 Q3 march</c:v>
                </c:pt>
                <c:pt idx="19">
                  <c:v>Year 1 Q1 jan</c:v>
                </c:pt>
                <c:pt idx="20">
                  <c:v>Year 6 Q1 jan</c:v>
                </c:pt>
                <c:pt idx="21">
                  <c:v>Year 6 Q2 feb</c:v>
                </c:pt>
                <c:pt idx="22">
                  <c:v>Year 6 Q3 march</c:v>
                </c:pt>
                <c:pt idx="23">
                  <c:v>Year 6 Q4 april</c:v>
                </c:pt>
                <c:pt idx="24">
                  <c:v>Year 7 Q1 </c:v>
                </c:pt>
                <c:pt idx="25">
                  <c:v>Year 7 Q2 </c:v>
                </c:pt>
                <c:pt idx="26">
                  <c:v>Year 7 Q3 </c:v>
                </c:pt>
                <c:pt idx="27">
                  <c:v>Year 7 Q4 </c:v>
                </c:pt>
              </c:strCache>
            </c:strRef>
          </c:cat>
          <c:val>
            <c:numRef>
              <c:f>'Revenue Data'!$E$2:$E$29</c:f>
              <c:numCache>
                <c:formatCode>#,##0</c:formatCode>
                <c:ptCount val="28"/>
                <c:pt idx="0">
                  <c:v>15183</c:v>
                </c:pt>
                <c:pt idx="1">
                  <c:v>10774.894736842105</c:v>
                </c:pt>
                <c:pt idx="2">
                  <c:v>14019</c:v>
                </c:pt>
                <c:pt idx="3">
                  <c:v>8882.394736842105</c:v>
                </c:pt>
                <c:pt idx="4">
                  <c:v>13345</c:v>
                </c:pt>
                <c:pt idx="5">
                  <c:v>13199</c:v>
                </c:pt>
                <c:pt idx="6">
                  <c:v>13101</c:v>
                </c:pt>
                <c:pt idx="7">
                  <c:v>12054</c:v>
                </c:pt>
                <c:pt idx="8">
                  <c:v>9661.2977941176468</c:v>
                </c:pt>
                <c:pt idx="9">
                  <c:v>11021</c:v>
                </c:pt>
                <c:pt idx="10">
                  <c:v>10523</c:v>
                </c:pt>
                <c:pt idx="11">
                  <c:v>10121</c:v>
                </c:pt>
                <c:pt idx="12">
                  <c:v>10282.535037500002</c:v>
                </c:pt>
                <c:pt idx="13">
                  <c:v>11675</c:v>
                </c:pt>
                <c:pt idx="14">
                  <c:v>12487</c:v>
                </c:pt>
                <c:pt idx="15">
                  <c:v>11811</c:v>
                </c:pt>
                <c:pt idx="16">
                  <c:v>7542</c:v>
                </c:pt>
                <c:pt idx="17">
                  <c:v>9343</c:v>
                </c:pt>
                <c:pt idx="18">
                  <c:v>9650</c:v>
                </c:pt>
                <c:pt idx="19">
                  <c:v>8765</c:v>
                </c:pt>
                <c:pt idx="20">
                  <c:v>5913</c:v>
                </c:pt>
                <c:pt idx="21">
                  <c:v>8149</c:v>
                </c:pt>
                <c:pt idx="22">
                  <c:v>10661</c:v>
                </c:pt>
                <c:pt idx="23">
                  <c:v>4926</c:v>
                </c:pt>
                <c:pt idx="24" formatCode="_ * #,##0_ ;_ * \-#,##0_ ;_ * &quot;-&quot;??_ ;_ @_ ">
                  <c:v>6737.4000000000005</c:v>
                </c:pt>
                <c:pt idx="25" formatCode="_ * #,##0_ ;_ * \-#,##0_ ;_ * &quot;-&quot;??_ ;_ @_ ">
                  <c:v>6320.1116000000002</c:v>
                </c:pt>
                <c:pt idx="26" formatCode="_ * #,##0_ ;_ * \-#,##0_ ;_ * &quot;-&quot;??_ ;_ @_ ">
                  <c:v>5889.8244000000004</c:v>
                </c:pt>
                <c:pt idx="27" formatCode="_ * #,##0_ ;_ * \-#,##0_ ;_ * &quot;-&quot;??_ ;_ @_ ">
                  <c:v>5446.5383999999995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C4-4C3A-AC68-FFB395935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0726895"/>
        <c:axId val="1970727375"/>
      </c:lineChart>
      <c:catAx>
        <c:axId val="1970726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727375"/>
        <c:crosses val="autoZero"/>
        <c:auto val="1"/>
        <c:lblAlgn val="ctr"/>
        <c:lblOffset val="100"/>
        <c:noMultiLvlLbl val="0"/>
      </c:catAx>
      <c:valAx>
        <c:axId val="197072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726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277743403333611E-2"/>
          <c:y val="0.16519827323899511"/>
          <c:w val="0.86686873896504824"/>
          <c:h val="0.52260576855105267"/>
        </c:manualLayout>
      </c:layout>
      <c:lineChart>
        <c:grouping val="standard"/>
        <c:varyColors val="0"/>
        <c:ser>
          <c:idx val="0"/>
          <c:order val="0"/>
          <c:tx>
            <c:strRef>
              <c:f>'Revenue Data'!$G$1</c:f>
              <c:strCache>
                <c:ptCount val="1"/>
                <c:pt idx="0">
                  <c:v>Product 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1"/>
            <c:trendlineLbl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 = 23.722x + 9132.9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forward val="4"/>
            <c:dispRSqr val="0"/>
            <c:dispEq val="0"/>
          </c:trendline>
          <c:cat>
            <c:strRef>
              <c:f>'Revenue Data'!$B$2:$B$29</c:f>
              <c:strCache>
                <c:ptCount val="28"/>
                <c:pt idx="0">
                  <c:v>Year 1 Q1 jan</c:v>
                </c:pt>
                <c:pt idx="1">
                  <c:v>Year 1 Q2 feb</c:v>
                </c:pt>
                <c:pt idx="2">
                  <c:v>Year 1 Q3 march</c:v>
                </c:pt>
                <c:pt idx="3">
                  <c:v>Year 1 Q4 April</c:v>
                </c:pt>
                <c:pt idx="4">
                  <c:v>Year 2 Q1 jan</c:v>
                </c:pt>
                <c:pt idx="5">
                  <c:v>Year 2 Q2 feb</c:v>
                </c:pt>
                <c:pt idx="6">
                  <c:v>Year 2 Q3 march</c:v>
                </c:pt>
                <c:pt idx="7">
                  <c:v>Year 2 Q4 april</c:v>
                </c:pt>
                <c:pt idx="8">
                  <c:v>Year 3 Q1 jan</c:v>
                </c:pt>
                <c:pt idx="9">
                  <c:v>Year 3 Q2 feb</c:v>
                </c:pt>
                <c:pt idx="10">
                  <c:v>Year 3 Q3 march</c:v>
                </c:pt>
                <c:pt idx="11">
                  <c:v>Year 3 Q4 april</c:v>
                </c:pt>
                <c:pt idx="12">
                  <c:v>Year 4 Q1 jan</c:v>
                </c:pt>
                <c:pt idx="13">
                  <c:v>Year 4 Q2 Feb</c:v>
                </c:pt>
                <c:pt idx="14">
                  <c:v>Year 4 Q3 march</c:v>
                </c:pt>
                <c:pt idx="15">
                  <c:v>Year 4 Q4 april</c:v>
                </c:pt>
                <c:pt idx="16">
                  <c:v>Year 5 Q1 jan</c:v>
                </c:pt>
                <c:pt idx="17">
                  <c:v>Year 5 Q2 feb</c:v>
                </c:pt>
                <c:pt idx="18">
                  <c:v>Year 5 Q3 march</c:v>
                </c:pt>
                <c:pt idx="19">
                  <c:v>Year 1 Q1 jan</c:v>
                </c:pt>
                <c:pt idx="20">
                  <c:v>Year 6 Q1 jan</c:v>
                </c:pt>
                <c:pt idx="21">
                  <c:v>Year 6 Q2 feb</c:v>
                </c:pt>
                <c:pt idx="22">
                  <c:v>Year 6 Q3 march</c:v>
                </c:pt>
                <c:pt idx="23">
                  <c:v>Year 6 Q4 april</c:v>
                </c:pt>
                <c:pt idx="24">
                  <c:v>Year 7 Q1 </c:v>
                </c:pt>
                <c:pt idx="25">
                  <c:v>Year 7 Q2 </c:v>
                </c:pt>
                <c:pt idx="26">
                  <c:v>Year 7 Q3 </c:v>
                </c:pt>
                <c:pt idx="27">
                  <c:v>Year 7 Q4 </c:v>
                </c:pt>
              </c:strCache>
            </c:strRef>
          </c:cat>
          <c:val>
            <c:numRef>
              <c:f>'Revenue Data'!$G$2:$G$29</c:f>
              <c:numCache>
                <c:formatCode>#,##0</c:formatCode>
                <c:ptCount val="28"/>
                <c:pt idx="0">
                  <c:v>9399</c:v>
                </c:pt>
                <c:pt idx="1">
                  <c:v>8936</c:v>
                </c:pt>
                <c:pt idx="2">
                  <c:v>8965</c:v>
                </c:pt>
                <c:pt idx="3" formatCode="0">
                  <c:v>10211.491641580882</c:v>
                </c:pt>
                <c:pt idx="4">
                  <c:v>9575</c:v>
                </c:pt>
                <c:pt idx="5">
                  <c:v>9770</c:v>
                </c:pt>
                <c:pt idx="6">
                  <c:v>8877</c:v>
                </c:pt>
                <c:pt idx="7">
                  <c:v>8810</c:v>
                </c:pt>
                <c:pt idx="8">
                  <c:v>8748</c:v>
                </c:pt>
                <c:pt idx="9">
                  <c:v>9901</c:v>
                </c:pt>
                <c:pt idx="10">
                  <c:v>9939</c:v>
                </c:pt>
                <c:pt idx="11">
                  <c:v>9301</c:v>
                </c:pt>
                <c:pt idx="12" formatCode="0">
                  <c:v>7341</c:v>
                </c:pt>
                <c:pt idx="13">
                  <c:v>9883</c:v>
                </c:pt>
                <c:pt idx="14">
                  <c:v>9782</c:v>
                </c:pt>
                <c:pt idx="15">
                  <c:v>9958</c:v>
                </c:pt>
                <c:pt idx="16" formatCode="0">
                  <c:v>8764</c:v>
                </c:pt>
                <c:pt idx="17">
                  <c:v>8842</c:v>
                </c:pt>
                <c:pt idx="18">
                  <c:v>10243</c:v>
                </c:pt>
                <c:pt idx="19">
                  <c:v>9306</c:v>
                </c:pt>
                <c:pt idx="20">
                  <c:v>10139</c:v>
                </c:pt>
                <c:pt idx="21">
                  <c:v>9513</c:v>
                </c:pt>
                <c:pt idx="22">
                  <c:v>10097</c:v>
                </c:pt>
                <c:pt idx="23">
                  <c:v>10005</c:v>
                </c:pt>
                <c:pt idx="24" formatCode="_ * #,##0_ ;_ * \-#,##0_ ;_ * &quot;-&quot;??_ ;_ @_ ">
                  <c:v>9725.9499999999989</c:v>
                </c:pt>
                <c:pt idx="25" formatCode="_ * #,##0_ ;_ * \-#,##0_ ;_ * &quot;-&quot;??_ ;_ @_ ">
                  <c:v>9749.6720000000005</c:v>
                </c:pt>
                <c:pt idx="26" formatCode="_ * #,##0_ ;_ * \-#,##0_ ;_ * &quot;-&quot;??_ ;_ @_ ">
                  <c:v>9773.3940000000002</c:v>
                </c:pt>
                <c:pt idx="27" formatCode="_ * #,##0_ ;_ * \-#,##0_ ;_ * &quot;-&quot;??_ ;_ @_ ">
                  <c:v>9797.116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A0-4862-949A-75FE299B6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0691375"/>
        <c:axId val="1970691855"/>
      </c:lineChart>
      <c:catAx>
        <c:axId val="1970691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691855"/>
        <c:crosses val="autoZero"/>
        <c:auto val="1"/>
        <c:lblAlgn val="ctr"/>
        <c:lblOffset val="100"/>
        <c:noMultiLvlLbl val="0"/>
      </c:catAx>
      <c:valAx>
        <c:axId val="197069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691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13727034120735"/>
          <c:y val="2.5428331875182269E-2"/>
          <c:w val="0.85862729658792647"/>
          <c:h val="0.61118766404199476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forward val="4"/>
            <c:dispRSqr val="1"/>
            <c:dispEq val="1"/>
            <c:trendlineLbl>
              <c:layout>
                <c:manualLayout>
                  <c:x val="-0.39088427060121017"/>
                  <c:y val="1.591889869828169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y = -5.3467(h28)2 + 477.57(h28) + 4521.1</a:t>
                    </a: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3.226485583972561E-2"/>
                  <c:y val="0.1475096818902181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'Revenue Data'!$B$2:$B$25</c:f>
              <c:strCache>
                <c:ptCount val="24"/>
                <c:pt idx="0">
                  <c:v>Year 1 Q1 jan</c:v>
                </c:pt>
                <c:pt idx="1">
                  <c:v>Year 1 Q2 feb</c:v>
                </c:pt>
                <c:pt idx="2">
                  <c:v>Year 1 Q3 march</c:v>
                </c:pt>
                <c:pt idx="3">
                  <c:v>Year 1 Q4 April</c:v>
                </c:pt>
                <c:pt idx="4">
                  <c:v>Year 2 Q1 jan</c:v>
                </c:pt>
                <c:pt idx="5">
                  <c:v>Year 2 Q2 feb</c:v>
                </c:pt>
                <c:pt idx="6">
                  <c:v>Year 2 Q3 march</c:v>
                </c:pt>
                <c:pt idx="7">
                  <c:v>Year 2 Q4 april</c:v>
                </c:pt>
                <c:pt idx="8">
                  <c:v>Year 3 Q1 jan</c:v>
                </c:pt>
                <c:pt idx="9">
                  <c:v>Year 3 Q2 feb</c:v>
                </c:pt>
                <c:pt idx="10">
                  <c:v>Year 3 Q3 march</c:v>
                </c:pt>
                <c:pt idx="11">
                  <c:v>Year 3 Q4 april</c:v>
                </c:pt>
                <c:pt idx="12">
                  <c:v>Year 4 Q1 jan</c:v>
                </c:pt>
                <c:pt idx="13">
                  <c:v>Year 4 Q2 Feb</c:v>
                </c:pt>
                <c:pt idx="14">
                  <c:v>Year 4 Q3 march</c:v>
                </c:pt>
                <c:pt idx="15">
                  <c:v>Year 4 Q4 april</c:v>
                </c:pt>
                <c:pt idx="16">
                  <c:v>Year 5 Q1 jan</c:v>
                </c:pt>
                <c:pt idx="17">
                  <c:v>Year 5 Q2 feb</c:v>
                </c:pt>
                <c:pt idx="18">
                  <c:v>Year 5 Q3 march</c:v>
                </c:pt>
                <c:pt idx="19">
                  <c:v>Year 1 Q1 jan</c:v>
                </c:pt>
                <c:pt idx="20">
                  <c:v>Year 6 Q1 jan</c:v>
                </c:pt>
                <c:pt idx="21">
                  <c:v>Year 6 Q2 feb</c:v>
                </c:pt>
                <c:pt idx="22">
                  <c:v>Year 6 Q3 march</c:v>
                </c:pt>
                <c:pt idx="23">
                  <c:v>Year 6 Q4 april</c:v>
                </c:pt>
              </c:strCache>
            </c:strRef>
          </c:cat>
          <c:val>
            <c:numRef>
              <c:f>'Revenue Data'!$I$2:$I$25</c:f>
              <c:numCache>
                <c:formatCode>#,##0</c:formatCode>
                <c:ptCount val="24"/>
                <c:pt idx="0">
                  <c:v>5055</c:v>
                </c:pt>
                <c:pt idx="1">
                  <c:v>5440</c:v>
                </c:pt>
                <c:pt idx="2">
                  <c:v>6146</c:v>
                </c:pt>
                <c:pt idx="3">
                  <c:v>6215</c:v>
                </c:pt>
                <c:pt idx="4">
                  <c:v>6030</c:v>
                </c:pt>
                <c:pt idx="5">
                  <c:v>7302</c:v>
                </c:pt>
                <c:pt idx="6">
                  <c:v>7674</c:v>
                </c:pt>
                <c:pt idx="7">
                  <c:v>9476.1906315789474</c:v>
                </c:pt>
                <c:pt idx="8">
                  <c:v>7096</c:v>
                </c:pt>
                <c:pt idx="9">
                  <c:v>9582.1122105263166</c:v>
                </c:pt>
                <c:pt idx="10">
                  <c:v>9059</c:v>
                </c:pt>
                <c:pt idx="11">
                  <c:v>9542.3607058823545</c:v>
                </c:pt>
                <c:pt idx="12">
                  <c:v>9168</c:v>
                </c:pt>
                <c:pt idx="13">
                  <c:v>11126</c:v>
                </c:pt>
                <c:pt idx="14">
                  <c:v>9692.5094285714295</c:v>
                </c:pt>
                <c:pt idx="15">
                  <c:v>10404</c:v>
                </c:pt>
                <c:pt idx="16">
                  <c:v>10061</c:v>
                </c:pt>
                <c:pt idx="17">
                  <c:v>10598</c:v>
                </c:pt>
                <c:pt idx="18">
                  <c:v>10849</c:v>
                </c:pt>
                <c:pt idx="19">
                  <c:v>14637</c:v>
                </c:pt>
                <c:pt idx="20">
                  <c:v>15038</c:v>
                </c:pt>
                <c:pt idx="21">
                  <c:v>9571</c:v>
                </c:pt>
                <c:pt idx="22">
                  <c:v>14749</c:v>
                </c:pt>
                <c:pt idx="23">
                  <c:v>11065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65-4541-BBBA-CB06E65AFA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0675055"/>
        <c:axId val="1970679855"/>
      </c:lineChart>
      <c:catAx>
        <c:axId val="1970675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679855"/>
        <c:crosses val="autoZero"/>
        <c:auto val="1"/>
        <c:lblAlgn val="ctr"/>
        <c:lblOffset val="100"/>
        <c:noMultiLvlLbl val="0"/>
      </c:catAx>
      <c:valAx>
        <c:axId val="1970679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675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</a:t>
            </a:r>
            <a:r>
              <a:rPr lang="en-IN" baseline="0"/>
              <a:t> 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385775579744708"/>
          <c:y val="2.5543032594010005E-2"/>
          <c:w val="0.86009080664212467"/>
          <c:h val="0.53832346581795132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4"/>
            <c:dispRSqr val="1"/>
            <c:dispEq val="1"/>
            <c:trendlineLbl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 = -377.31x + 16274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'Revenue Data'!$B$2:$B$25</c:f>
              <c:strCache>
                <c:ptCount val="24"/>
                <c:pt idx="0">
                  <c:v>Year 1 Q1 jan</c:v>
                </c:pt>
                <c:pt idx="1">
                  <c:v>Year 1 Q2 feb</c:v>
                </c:pt>
                <c:pt idx="2">
                  <c:v>Year 1 Q3 march</c:v>
                </c:pt>
                <c:pt idx="3">
                  <c:v>Year 1 Q4 April</c:v>
                </c:pt>
                <c:pt idx="4">
                  <c:v>Year 2 Q1 jan</c:v>
                </c:pt>
                <c:pt idx="5">
                  <c:v>Year 2 Q2 feb</c:v>
                </c:pt>
                <c:pt idx="6">
                  <c:v>Year 2 Q3 march</c:v>
                </c:pt>
                <c:pt idx="7">
                  <c:v>Year 2 Q4 april</c:v>
                </c:pt>
                <c:pt idx="8">
                  <c:v>Year 3 Q1 jan</c:v>
                </c:pt>
                <c:pt idx="9">
                  <c:v>Year 3 Q2 feb</c:v>
                </c:pt>
                <c:pt idx="10">
                  <c:v>Year 3 Q3 march</c:v>
                </c:pt>
                <c:pt idx="11">
                  <c:v>Year 3 Q4 april</c:v>
                </c:pt>
                <c:pt idx="12">
                  <c:v>Year 4 Q1 jan</c:v>
                </c:pt>
                <c:pt idx="13">
                  <c:v>Year 4 Q2 Feb</c:v>
                </c:pt>
                <c:pt idx="14">
                  <c:v>Year 4 Q3 march</c:v>
                </c:pt>
                <c:pt idx="15">
                  <c:v>Year 4 Q4 april</c:v>
                </c:pt>
                <c:pt idx="16">
                  <c:v>Year 5 Q1 jan</c:v>
                </c:pt>
                <c:pt idx="17">
                  <c:v>Year 5 Q2 feb</c:v>
                </c:pt>
                <c:pt idx="18">
                  <c:v>Year 5 Q3 march</c:v>
                </c:pt>
                <c:pt idx="19">
                  <c:v>Year 1 Q1 jan</c:v>
                </c:pt>
                <c:pt idx="20">
                  <c:v>Year 6 Q1 jan</c:v>
                </c:pt>
                <c:pt idx="21">
                  <c:v>Year 6 Q2 feb</c:v>
                </c:pt>
                <c:pt idx="22">
                  <c:v>Year 6 Q3 march</c:v>
                </c:pt>
                <c:pt idx="23">
                  <c:v>Year 6 Q4 april</c:v>
                </c:pt>
              </c:strCache>
            </c:strRef>
          </c:cat>
          <c:val>
            <c:numRef>
              <c:f>'Revenue Data'!$K$2:$K$25</c:f>
              <c:numCache>
                <c:formatCode>#,##0</c:formatCode>
                <c:ptCount val="24"/>
                <c:pt idx="0">
                  <c:v>15438</c:v>
                </c:pt>
                <c:pt idx="1">
                  <c:v>15290</c:v>
                </c:pt>
                <c:pt idx="2">
                  <c:v>14765</c:v>
                </c:pt>
                <c:pt idx="3">
                  <c:v>14699</c:v>
                </c:pt>
                <c:pt idx="4">
                  <c:v>14563</c:v>
                </c:pt>
                <c:pt idx="5">
                  <c:v>13397</c:v>
                </c:pt>
                <c:pt idx="6">
                  <c:v>14134</c:v>
                </c:pt>
                <c:pt idx="7">
                  <c:v>12986</c:v>
                </c:pt>
                <c:pt idx="8">
                  <c:v>13412</c:v>
                </c:pt>
                <c:pt idx="9">
                  <c:v>12792</c:v>
                </c:pt>
                <c:pt idx="10">
                  <c:v>12201</c:v>
                </c:pt>
                <c:pt idx="11">
                  <c:v>11774.239784379635</c:v>
                </c:pt>
                <c:pt idx="12">
                  <c:v>11577</c:v>
                </c:pt>
                <c:pt idx="13">
                  <c:v>10910</c:v>
                </c:pt>
                <c:pt idx="14">
                  <c:v>12028</c:v>
                </c:pt>
                <c:pt idx="15">
                  <c:v>9340</c:v>
                </c:pt>
                <c:pt idx="16">
                  <c:v>11107</c:v>
                </c:pt>
                <c:pt idx="17">
                  <c:v>8254</c:v>
                </c:pt>
                <c:pt idx="18">
                  <c:v>11959</c:v>
                </c:pt>
                <c:pt idx="19">
                  <c:v>8618</c:v>
                </c:pt>
                <c:pt idx="20">
                  <c:v>7721</c:v>
                </c:pt>
                <c:pt idx="21">
                  <c:v>5191</c:v>
                </c:pt>
                <c:pt idx="22">
                  <c:v>7670</c:v>
                </c:pt>
                <c:pt idx="23">
                  <c:v>7551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61-417D-94AA-40B3DFC8AF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325647"/>
        <c:axId val="45326127"/>
      </c:lineChart>
      <c:catAx>
        <c:axId val="45325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26127"/>
        <c:crosses val="autoZero"/>
        <c:auto val="1"/>
        <c:lblAlgn val="ctr"/>
        <c:lblOffset val="100"/>
        <c:noMultiLvlLbl val="0"/>
      </c:catAx>
      <c:valAx>
        <c:axId val="4532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25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</a:t>
            </a:r>
            <a:r>
              <a:rPr lang="en-IN" baseline="0"/>
              <a:t> 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Product 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4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val>
            <c:numRef>
              <c:f>Sheet1!$B$2:$B$25</c:f>
              <c:numCache>
                <c:formatCode>#,##0</c:formatCode>
                <c:ptCount val="24"/>
                <c:pt idx="0">
                  <c:v>5269</c:v>
                </c:pt>
                <c:pt idx="1">
                  <c:v>5795</c:v>
                </c:pt>
                <c:pt idx="2">
                  <c:v>6179</c:v>
                </c:pt>
                <c:pt idx="3">
                  <c:v>6438</c:v>
                </c:pt>
                <c:pt idx="4">
                  <c:v>6253</c:v>
                </c:pt>
                <c:pt idx="5">
                  <c:v>7331</c:v>
                </c:pt>
                <c:pt idx="6">
                  <c:v>7248</c:v>
                </c:pt>
                <c:pt idx="7">
                  <c:v>8770</c:v>
                </c:pt>
                <c:pt idx="8">
                  <c:v>6941</c:v>
                </c:pt>
                <c:pt idx="9">
                  <c:v>7757</c:v>
                </c:pt>
                <c:pt idx="10" formatCode="0">
                  <c:v>8621</c:v>
                </c:pt>
                <c:pt idx="11">
                  <c:v>8121</c:v>
                </c:pt>
                <c:pt idx="12">
                  <c:v>9478</c:v>
                </c:pt>
                <c:pt idx="13" formatCode="0">
                  <c:v>8621.75</c:v>
                </c:pt>
                <c:pt idx="14">
                  <c:v>9056</c:v>
                </c:pt>
                <c:pt idx="15">
                  <c:v>10406</c:v>
                </c:pt>
                <c:pt idx="16">
                  <c:v>7890</c:v>
                </c:pt>
                <c:pt idx="17">
                  <c:v>8790</c:v>
                </c:pt>
                <c:pt idx="18">
                  <c:v>9121</c:v>
                </c:pt>
                <c:pt idx="19">
                  <c:v>8621.75</c:v>
                </c:pt>
                <c:pt idx="20">
                  <c:v>11813</c:v>
                </c:pt>
                <c:pt idx="21">
                  <c:v>10103</c:v>
                </c:pt>
                <c:pt idx="22">
                  <c:v>10990</c:v>
                </c:pt>
                <c:pt idx="23">
                  <c:v>8622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F8-44B6-AEF2-EB51095EC323}"/>
            </c:ext>
          </c:extLst>
        </c:ser>
        <c:ser>
          <c:idx val="1"/>
          <c:order val="1"/>
          <c:tx>
            <c:strRef>
              <c:f>Sheet1!$A$2</c:f>
              <c:strCache>
                <c:ptCount val="1"/>
                <c:pt idx="0">
                  <c:v>Year 1 Q1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Sheet1!$A$3:$A$29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m/d/yyyy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F8-44B6-AEF2-EB51095EC3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2547263"/>
        <c:axId val="1812552063"/>
      </c:lineChart>
      <c:catAx>
        <c:axId val="18125472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552063"/>
        <c:crosses val="autoZero"/>
        <c:auto val="1"/>
        <c:lblAlgn val="ctr"/>
        <c:lblOffset val="100"/>
        <c:noMultiLvlLbl val="0"/>
      </c:catAx>
      <c:valAx>
        <c:axId val="181255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547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</a:t>
            </a:r>
            <a:r>
              <a:rPr lang="en-IN" baseline="0"/>
              <a:t> B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0097875586064563"/>
          <c:y val="0.27861589975671647"/>
          <c:w val="0.85862729658792647"/>
          <c:h val="0.61498432487605714"/>
        </c:manualLayout>
      </c:layout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Product 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4"/>
            <c:dispRSqr val="0"/>
            <c:dispEq val="0"/>
          </c:trendline>
          <c:val>
            <c:numRef>
              <c:f>Sheet1!$C$2:$C$25</c:f>
              <c:numCache>
                <c:formatCode>#,##0</c:formatCode>
                <c:ptCount val="24"/>
                <c:pt idx="0">
                  <c:v>15183</c:v>
                </c:pt>
                <c:pt idx="1">
                  <c:v>10774.894736842105</c:v>
                </c:pt>
                <c:pt idx="2">
                  <c:v>14019</c:v>
                </c:pt>
                <c:pt idx="3">
                  <c:v>12560</c:v>
                </c:pt>
                <c:pt idx="4">
                  <c:v>15183</c:v>
                </c:pt>
                <c:pt idx="5">
                  <c:v>10774.894736842105</c:v>
                </c:pt>
                <c:pt idx="6">
                  <c:v>14019</c:v>
                </c:pt>
                <c:pt idx="7">
                  <c:v>12504</c:v>
                </c:pt>
                <c:pt idx="8">
                  <c:v>13345</c:v>
                </c:pt>
                <c:pt idx="9">
                  <c:v>13199</c:v>
                </c:pt>
                <c:pt idx="10">
                  <c:v>13101</c:v>
                </c:pt>
                <c:pt idx="11">
                  <c:v>12054</c:v>
                </c:pt>
                <c:pt idx="12">
                  <c:v>10283</c:v>
                </c:pt>
                <c:pt idx="13">
                  <c:v>11021</c:v>
                </c:pt>
                <c:pt idx="14">
                  <c:v>10523</c:v>
                </c:pt>
                <c:pt idx="15">
                  <c:v>10121</c:v>
                </c:pt>
                <c:pt idx="16">
                  <c:v>7542</c:v>
                </c:pt>
                <c:pt idx="17">
                  <c:v>11675</c:v>
                </c:pt>
                <c:pt idx="18">
                  <c:v>12487</c:v>
                </c:pt>
                <c:pt idx="19">
                  <c:v>11811</c:v>
                </c:pt>
                <c:pt idx="20">
                  <c:v>7542</c:v>
                </c:pt>
                <c:pt idx="21">
                  <c:v>9343</c:v>
                </c:pt>
                <c:pt idx="22">
                  <c:v>9650</c:v>
                </c:pt>
                <c:pt idx="23">
                  <c:v>8765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22-454A-9AE0-6B768E3C54A2}"/>
            </c:ext>
          </c:extLst>
        </c:ser>
        <c:ser>
          <c:idx val="1"/>
          <c:order val="1"/>
          <c:tx>
            <c:strRef>
              <c:f>Sheet1!$A$2</c:f>
              <c:strCache>
                <c:ptCount val="1"/>
                <c:pt idx="0">
                  <c:v>Year 1 Q1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Sheet1!$A$3:$A$29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m/d/yyyy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22-454A-9AE0-6B768E3C54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6059007"/>
        <c:axId val="1966049887"/>
      </c:lineChart>
      <c:catAx>
        <c:axId val="19660590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049887"/>
        <c:crosses val="autoZero"/>
        <c:auto val="1"/>
        <c:lblAlgn val="ctr"/>
        <c:lblOffset val="100"/>
        <c:noMultiLvlLbl val="0"/>
      </c:catAx>
      <c:valAx>
        <c:axId val="1966049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059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277743403333611E-2"/>
          <c:y val="0.16519827323899511"/>
          <c:w val="0.86686873896504824"/>
          <c:h val="0.52260576855105267"/>
        </c:manualLayout>
      </c:layout>
      <c:lineChart>
        <c:grouping val="standard"/>
        <c:varyColors val="0"/>
        <c:ser>
          <c:idx val="0"/>
          <c:order val="0"/>
          <c:tx>
            <c:strRef>
              <c:f>'Revenue Data'!$G$1</c:f>
              <c:strCache>
                <c:ptCount val="1"/>
                <c:pt idx="0">
                  <c:v>Product 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1"/>
            <c:trendlineLbl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 = 23.722x + 9132.9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forward val="4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4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4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'Revenue Data'!$B$2:$B$29</c:f>
              <c:strCache>
                <c:ptCount val="28"/>
                <c:pt idx="0">
                  <c:v>Year 1 Q1 jan</c:v>
                </c:pt>
                <c:pt idx="1">
                  <c:v>Year 1 Q2 feb</c:v>
                </c:pt>
                <c:pt idx="2">
                  <c:v>Year 1 Q3 march</c:v>
                </c:pt>
                <c:pt idx="3">
                  <c:v>Year 1 Q4 April</c:v>
                </c:pt>
                <c:pt idx="4">
                  <c:v>Year 2 Q1 jan</c:v>
                </c:pt>
                <c:pt idx="5">
                  <c:v>Year 2 Q2 feb</c:v>
                </c:pt>
                <c:pt idx="6">
                  <c:v>Year 2 Q3 march</c:v>
                </c:pt>
                <c:pt idx="7">
                  <c:v>Year 2 Q4 april</c:v>
                </c:pt>
                <c:pt idx="8">
                  <c:v>Year 3 Q1 jan</c:v>
                </c:pt>
                <c:pt idx="9">
                  <c:v>Year 3 Q2 feb</c:v>
                </c:pt>
                <c:pt idx="10">
                  <c:v>Year 3 Q3 march</c:v>
                </c:pt>
                <c:pt idx="11">
                  <c:v>Year 3 Q4 april</c:v>
                </c:pt>
                <c:pt idx="12">
                  <c:v>Year 4 Q1 jan</c:v>
                </c:pt>
                <c:pt idx="13">
                  <c:v>Year 4 Q2 Feb</c:v>
                </c:pt>
                <c:pt idx="14">
                  <c:v>Year 4 Q3 march</c:v>
                </c:pt>
                <c:pt idx="15">
                  <c:v>Year 4 Q4 april</c:v>
                </c:pt>
                <c:pt idx="16">
                  <c:v>Year 5 Q1 jan</c:v>
                </c:pt>
                <c:pt idx="17">
                  <c:v>Year 5 Q2 feb</c:v>
                </c:pt>
                <c:pt idx="18">
                  <c:v>Year 5 Q3 march</c:v>
                </c:pt>
                <c:pt idx="19">
                  <c:v>Year 1 Q1 jan</c:v>
                </c:pt>
                <c:pt idx="20">
                  <c:v>Year 6 Q1 jan</c:v>
                </c:pt>
                <c:pt idx="21">
                  <c:v>Year 6 Q2 feb</c:v>
                </c:pt>
                <c:pt idx="22">
                  <c:v>Year 6 Q3 march</c:v>
                </c:pt>
                <c:pt idx="23">
                  <c:v>Year 6 Q4 april</c:v>
                </c:pt>
                <c:pt idx="24">
                  <c:v>Year 7 Q1 </c:v>
                </c:pt>
                <c:pt idx="25">
                  <c:v>Year 7 Q2 </c:v>
                </c:pt>
                <c:pt idx="26">
                  <c:v>Year 7 Q3 </c:v>
                </c:pt>
                <c:pt idx="27">
                  <c:v>Year 7 Q4 </c:v>
                </c:pt>
              </c:strCache>
            </c:strRef>
          </c:cat>
          <c:val>
            <c:numRef>
              <c:f>'Revenue Data'!$G$2:$G$29</c:f>
              <c:numCache>
                <c:formatCode>#,##0</c:formatCode>
                <c:ptCount val="28"/>
                <c:pt idx="0">
                  <c:v>9399</c:v>
                </c:pt>
                <c:pt idx="1">
                  <c:v>8936</c:v>
                </c:pt>
                <c:pt idx="2">
                  <c:v>8965</c:v>
                </c:pt>
                <c:pt idx="3" formatCode="0">
                  <c:v>10211.491641580882</c:v>
                </c:pt>
                <c:pt idx="4">
                  <c:v>9575</c:v>
                </c:pt>
                <c:pt idx="5">
                  <c:v>9770</c:v>
                </c:pt>
                <c:pt idx="6">
                  <c:v>8877</c:v>
                </c:pt>
                <c:pt idx="7">
                  <c:v>8810</c:v>
                </c:pt>
                <c:pt idx="8">
                  <c:v>8748</c:v>
                </c:pt>
                <c:pt idx="9">
                  <c:v>9901</c:v>
                </c:pt>
                <c:pt idx="10">
                  <c:v>9939</c:v>
                </c:pt>
                <c:pt idx="11">
                  <c:v>9301</c:v>
                </c:pt>
                <c:pt idx="12" formatCode="0">
                  <c:v>7341</c:v>
                </c:pt>
                <c:pt idx="13">
                  <c:v>9883</c:v>
                </c:pt>
                <c:pt idx="14">
                  <c:v>9782</c:v>
                </c:pt>
                <c:pt idx="15">
                  <c:v>9958</c:v>
                </c:pt>
                <c:pt idx="16" formatCode="0">
                  <c:v>8764</c:v>
                </c:pt>
                <c:pt idx="17">
                  <c:v>8842</c:v>
                </c:pt>
                <c:pt idx="18">
                  <c:v>10243</c:v>
                </c:pt>
                <c:pt idx="19">
                  <c:v>9306</c:v>
                </c:pt>
                <c:pt idx="20">
                  <c:v>10139</c:v>
                </c:pt>
                <c:pt idx="21">
                  <c:v>9513</c:v>
                </c:pt>
                <c:pt idx="22">
                  <c:v>10097</c:v>
                </c:pt>
                <c:pt idx="23">
                  <c:v>10005</c:v>
                </c:pt>
                <c:pt idx="24" formatCode="_ * #,##0_ ;_ * \-#,##0_ ;_ * &quot;-&quot;??_ ;_ @_ ">
                  <c:v>9725.9499999999989</c:v>
                </c:pt>
                <c:pt idx="25" formatCode="_ * #,##0_ ;_ * \-#,##0_ ;_ * &quot;-&quot;??_ ;_ @_ ">
                  <c:v>9749.6720000000005</c:v>
                </c:pt>
                <c:pt idx="26" formatCode="_ * #,##0_ ;_ * \-#,##0_ ;_ * &quot;-&quot;??_ ;_ @_ ">
                  <c:v>9773.3940000000002</c:v>
                </c:pt>
                <c:pt idx="27" formatCode="_ * #,##0_ ;_ * \-#,##0_ ;_ * &quot;-&quot;??_ ;_ @_ ">
                  <c:v>9797.116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9EF-4CAC-83AF-4D2A53410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0691375"/>
        <c:axId val="1970691855"/>
      </c:lineChart>
      <c:catAx>
        <c:axId val="1970691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691855"/>
        <c:crosses val="autoZero"/>
        <c:auto val="1"/>
        <c:lblAlgn val="ctr"/>
        <c:lblOffset val="100"/>
        <c:noMultiLvlLbl val="0"/>
      </c:catAx>
      <c:valAx>
        <c:axId val="197069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691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</a:t>
            </a:r>
            <a:r>
              <a:rPr lang="en-IN" baseline="0"/>
              <a:t> 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Product 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4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val>
            <c:numRef>
              <c:f>Sheet1!$E$2:$E$25</c:f>
              <c:numCache>
                <c:formatCode>#,##0</c:formatCode>
                <c:ptCount val="24"/>
                <c:pt idx="0">
                  <c:v>5055</c:v>
                </c:pt>
                <c:pt idx="1">
                  <c:v>5440</c:v>
                </c:pt>
                <c:pt idx="2">
                  <c:v>6146</c:v>
                </c:pt>
                <c:pt idx="3">
                  <c:v>6215</c:v>
                </c:pt>
                <c:pt idx="4">
                  <c:v>6030</c:v>
                </c:pt>
                <c:pt idx="5">
                  <c:v>7302</c:v>
                </c:pt>
                <c:pt idx="6">
                  <c:v>7674</c:v>
                </c:pt>
                <c:pt idx="7">
                  <c:v>10952.026315789473</c:v>
                </c:pt>
                <c:pt idx="8">
                  <c:v>7096</c:v>
                </c:pt>
                <c:pt idx="9">
                  <c:v>10495.781052631579</c:v>
                </c:pt>
                <c:pt idx="10">
                  <c:v>9059</c:v>
                </c:pt>
                <c:pt idx="11">
                  <c:v>10183.52</c:v>
                </c:pt>
                <c:pt idx="12">
                  <c:v>9168</c:v>
                </c:pt>
                <c:pt idx="13">
                  <c:v>11126</c:v>
                </c:pt>
                <c:pt idx="14">
                  <c:v>9982.988571428572</c:v>
                </c:pt>
                <c:pt idx="15">
                  <c:v>10404</c:v>
                </c:pt>
                <c:pt idx="16">
                  <c:v>10061</c:v>
                </c:pt>
                <c:pt idx="17">
                  <c:v>10598</c:v>
                </c:pt>
                <c:pt idx="18">
                  <c:v>10849</c:v>
                </c:pt>
                <c:pt idx="19">
                  <c:v>14637</c:v>
                </c:pt>
                <c:pt idx="20">
                  <c:v>15038</c:v>
                </c:pt>
                <c:pt idx="21">
                  <c:v>9571</c:v>
                </c:pt>
                <c:pt idx="22">
                  <c:v>14749</c:v>
                </c:pt>
                <c:pt idx="23">
                  <c:v>11065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47-47DE-A5D8-A42DD6497F29}"/>
            </c:ext>
          </c:extLst>
        </c:ser>
        <c:ser>
          <c:idx val="1"/>
          <c:order val="1"/>
          <c:tx>
            <c:strRef>
              <c:f>Sheet1!$A$1</c:f>
              <c:strCache>
                <c:ptCount val="1"/>
                <c:pt idx="0">
                  <c:v>YEAR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forward val="4"/>
            <c:dispRSqr val="0"/>
            <c:dispEq val="0"/>
          </c:trendline>
          <c:val>
            <c:numRef>
              <c:f>Sheet1!$A$2:$A$29</c:f>
              <c:numCache>
                <c:formatCode>General</c:formatCode>
                <c:ptCount val="28"/>
                <c:pt idx="0" formatCode="m/d/yyyy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 formatCode="m/d/yyyy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47-47DE-A5D8-A42DD6497F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5341904"/>
        <c:axId val="1465342864"/>
      </c:lineChart>
      <c:catAx>
        <c:axId val="14653419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342864"/>
        <c:crosses val="autoZero"/>
        <c:auto val="1"/>
        <c:lblAlgn val="ctr"/>
        <c:lblOffset val="100"/>
        <c:noMultiLvlLbl val="0"/>
      </c:catAx>
      <c:valAx>
        <c:axId val="146534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341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</a:t>
            </a:r>
            <a:r>
              <a:rPr lang="en-IN" baseline="0"/>
              <a:t> 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4519980060631957"/>
          <c:y val="0.10229299363057325"/>
          <c:w val="0.83561313556735639"/>
          <c:h val="0.58157747797448889"/>
        </c:manualLayout>
      </c:layout>
      <c:lineChart>
        <c:grouping val="standar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Product 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4"/>
            <c:dispRSqr val="1"/>
            <c:dispEq val="1"/>
            <c:trendlineLbl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 = -377.31x + 16274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val>
            <c:numRef>
              <c:f>Sheet1!$F$2:$F$25</c:f>
              <c:numCache>
                <c:formatCode>#,##0</c:formatCode>
                <c:ptCount val="24"/>
                <c:pt idx="0">
                  <c:v>15438</c:v>
                </c:pt>
                <c:pt idx="1">
                  <c:v>15290</c:v>
                </c:pt>
                <c:pt idx="2">
                  <c:v>14765</c:v>
                </c:pt>
                <c:pt idx="3">
                  <c:v>14699</c:v>
                </c:pt>
                <c:pt idx="4">
                  <c:v>14563</c:v>
                </c:pt>
                <c:pt idx="5">
                  <c:v>13397</c:v>
                </c:pt>
                <c:pt idx="6">
                  <c:v>14134</c:v>
                </c:pt>
                <c:pt idx="7">
                  <c:v>12986</c:v>
                </c:pt>
                <c:pt idx="8">
                  <c:v>13412</c:v>
                </c:pt>
                <c:pt idx="9">
                  <c:v>12792</c:v>
                </c:pt>
                <c:pt idx="10">
                  <c:v>12201</c:v>
                </c:pt>
                <c:pt idx="11">
                  <c:v>11774</c:v>
                </c:pt>
                <c:pt idx="12">
                  <c:v>11577</c:v>
                </c:pt>
                <c:pt idx="13">
                  <c:v>10910</c:v>
                </c:pt>
                <c:pt idx="14">
                  <c:v>12028</c:v>
                </c:pt>
                <c:pt idx="15">
                  <c:v>9340</c:v>
                </c:pt>
                <c:pt idx="16">
                  <c:v>11107</c:v>
                </c:pt>
                <c:pt idx="17">
                  <c:v>8254</c:v>
                </c:pt>
                <c:pt idx="18">
                  <c:v>11959</c:v>
                </c:pt>
                <c:pt idx="19">
                  <c:v>8618</c:v>
                </c:pt>
                <c:pt idx="20">
                  <c:v>7721</c:v>
                </c:pt>
                <c:pt idx="21">
                  <c:v>5191</c:v>
                </c:pt>
                <c:pt idx="22">
                  <c:v>7670</c:v>
                </c:pt>
                <c:pt idx="23">
                  <c:v>7551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EF-4320-9C5C-249104F22BE0}"/>
            </c:ext>
          </c:extLst>
        </c:ser>
        <c:ser>
          <c:idx val="1"/>
          <c:order val="1"/>
          <c:tx>
            <c:strRef>
              <c:f>Sheet1!$A$1</c:f>
              <c:strCache>
                <c:ptCount val="1"/>
                <c:pt idx="0">
                  <c:v>YEAR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Sheet1!$A$2:$A$29</c:f>
              <c:numCache>
                <c:formatCode>General</c:formatCode>
                <c:ptCount val="28"/>
                <c:pt idx="0" formatCode="m/d/yyyy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 formatCode="m/d/yyyy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EF-4320-9C5C-249104F22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8065680"/>
        <c:axId val="1538072880"/>
      </c:lineChart>
      <c:catAx>
        <c:axId val="15380656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072880"/>
        <c:crosses val="autoZero"/>
        <c:auto val="1"/>
        <c:lblAlgn val="ctr"/>
        <c:lblOffset val="100"/>
        <c:noMultiLvlLbl val="0"/>
      </c:catAx>
      <c:valAx>
        <c:axId val="153807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06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287866</xdr:colOff>
      <xdr:row>3</xdr:row>
      <xdr:rowOff>76201</xdr:rowOff>
    </xdr:from>
    <xdr:to>
      <xdr:col>21</xdr:col>
      <xdr:colOff>381000</xdr:colOff>
      <xdr:row>18</xdr:row>
      <xdr:rowOff>127001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11091D7-66D8-3FBC-8F08-E57F3F7242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320842</xdr:colOff>
      <xdr:row>20</xdr:row>
      <xdr:rowOff>174170</xdr:rowOff>
    </xdr:from>
    <xdr:to>
      <xdr:col>25</xdr:col>
      <xdr:colOff>65314</xdr:colOff>
      <xdr:row>33</xdr:row>
      <xdr:rowOff>572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D7B833B-A93A-4D46-8194-8495EF03EB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225164</xdr:colOff>
      <xdr:row>21</xdr:row>
      <xdr:rowOff>184484</xdr:rowOff>
    </xdr:from>
    <xdr:to>
      <xdr:col>33</xdr:col>
      <xdr:colOff>513350</xdr:colOff>
      <xdr:row>37</xdr:row>
      <xdr:rowOff>40106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5E10C86-A86C-22CC-BA9F-9B37F59B4E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228601</xdr:colOff>
      <xdr:row>0</xdr:row>
      <xdr:rowOff>144380</xdr:rowOff>
    </xdr:from>
    <xdr:to>
      <xdr:col>36</xdr:col>
      <xdr:colOff>136358</xdr:colOff>
      <xdr:row>18</xdr:row>
      <xdr:rowOff>40106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B9EAC36-08B1-5ECC-83FE-BCB6F96E3E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35</xdr:col>
      <xdr:colOff>316257</xdr:colOff>
      <xdr:row>21</xdr:row>
      <xdr:rowOff>75626</xdr:rowOff>
    </xdr:from>
    <xdr:to>
      <xdr:col>43</xdr:col>
      <xdr:colOff>12030</xdr:colOff>
      <xdr:row>37</xdr:row>
      <xdr:rowOff>151827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5F8BE8C1-0C0A-CBF4-A806-E912EDFDED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548640</xdr:colOff>
      <xdr:row>1</xdr:row>
      <xdr:rowOff>163830</xdr:rowOff>
    </xdr:from>
    <xdr:to>
      <xdr:col>14</xdr:col>
      <xdr:colOff>243840</xdr:colOff>
      <xdr:row>16</xdr:row>
      <xdr:rowOff>163830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AEC15AB-41CA-658F-0C34-AAE6D811F0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373380</xdr:colOff>
      <xdr:row>18</xdr:row>
      <xdr:rowOff>144780</xdr:rowOff>
    </xdr:from>
    <xdr:to>
      <xdr:col>13</xdr:col>
      <xdr:colOff>495300</xdr:colOff>
      <xdr:row>32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B8FBC19-7767-04DC-C14D-42AE736BDC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365760</xdr:colOff>
      <xdr:row>1</xdr:row>
      <xdr:rowOff>99060</xdr:rowOff>
    </xdr:from>
    <xdr:to>
      <xdr:col>22</xdr:col>
      <xdr:colOff>44346</xdr:colOff>
      <xdr:row>16</xdr:row>
      <xdr:rowOff>163230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DA79FE80-D663-4EF1-9909-C212D9AA7C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571500</xdr:colOff>
      <xdr:row>22</xdr:row>
      <xdr:rowOff>83820</xdr:rowOff>
    </xdr:from>
    <xdr:to>
      <xdr:col>21</xdr:col>
      <xdr:colOff>91440</xdr:colOff>
      <xdr:row>36</xdr:row>
      <xdr:rowOff>15240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E238B29-0C36-371A-AC97-BABEAA6B30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434340</xdr:colOff>
      <xdr:row>10</xdr:row>
      <xdr:rowOff>68580</xdr:rowOff>
    </xdr:from>
    <xdr:to>
      <xdr:col>29</xdr:col>
      <xdr:colOff>99060</xdr:colOff>
      <xdr:row>26</xdr:row>
      <xdr:rowOff>133350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E0D990D-A6FA-7673-AD69-1A41199D61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0.62393</cdr:x>
      <cdr:y>0.10299</cdr:y>
    </cdr:from>
    <cdr:to>
      <cdr:x>0.94188</cdr:x>
      <cdr:y>0.25581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80C5EDA2-93B5-84E6-58C8-4A1A0AAE6AD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2781300" y="236220"/>
          <a:ext cx="1417320" cy="350520"/>
        </a:xfrm>
        <a:prstGeom xmlns:a="http://schemas.openxmlformats.org/drawingml/2006/main" prst="rect">
          <a:avLst/>
        </a:prstGeom>
      </cdr:spPr>
    </cdr:pic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0.05861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875DB3CF-FBBE-ACBB-0E99-0DF3B2A9762C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3787140" cy="121920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9"/>
  <sheetViews>
    <sheetView tabSelected="1" topLeftCell="B1" zoomScale="54" zoomScaleNormal="95" workbookViewId="0">
      <selection activeCell="J40" sqref="J40"/>
    </sheetView>
  </sheetViews>
  <sheetFormatPr defaultRowHeight="14.4" x14ac:dyDescent="0.3"/>
  <cols>
    <col min="1" max="1" width="16.33203125" customWidth="1"/>
    <col min="2" max="2" width="19.44140625" customWidth="1"/>
    <col min="3" max="4" width="10.109375" customWidth="1"/>
    <col min="5" max="5" width="41.21875" customWidth="1"/>
    <col min="7" max="7" width="14.5546875" customWidth="1"/>
    <col min="11" max="11" width="10.77734375" bestFit="1" customWidth="1"/>
  </cols>
  <sheetData>
    <row r="1" spans="1:23" x14ac:dyDescent="0.3">
      <c r="B1" s="2" t="s">
        <v>28</v>
      </c>
      <c r="C1" s="1" t="s">
        <v>0</v>
      </c>
      <c r="D1" s="1"/>
      <c r="E1" s="1" t="s">
        <v>1</v>
      </c>
      <c r="F1" s="1"/>
      <c r="G1" s="16" t="s">
        <v>2</v>
      </c>
      <c r="H1" s="1"/>
      <c r="I1" s="1" t="s">
        <v>3</v>
      </c>
      <c r="J1" s="1"/>
      <c r="K1" s="1" t="s">
        <v>4</v>
      </c>
      <c r="M1" s="2"/>
      <c r="N1" s="5"/>
      <c r="P1" s="2"/>
      <c r="R1" s="2"/>
      <c r="T1" s="2"/>
      <c r="V1" s="2"/>
    </row>
    <row r="2" spans="1:23" x14ac:dyDescent="0.3">
      <c r="A2" t="s">
        <v>29</v>
      </c>
      <c r="B2" s="7" t="s">
        <v>23</v>
      </c>
      <c r="C2" s="3">
        <v>5269</v>
      </c>
      <c r="D2" s="3"/>
      <c r="E2" s="3">
        <v>15183</v>
      </c>
      <c r="F2" s="3"/>
      <c r="G2" s="3">
        <v>9399</v>
      </c>
      <c r="H2" s="3"/>
      <c r="I2" s="3">
        <v>5055</v>
      </c>
      <c r="J2" s="3"/>
      <c r="K2" s="3">
        <v>15438</v>
      </c>
      <c r="M2" s="3"/>
      <c r="N2" s="6"/>
      <c r="O2" s="4"/>
      <c r="P2" s="3"/>
      <c r="Q2" s="3"/>
      <c r="R2" s="3"/>
      <c r="S2" s="3"/>
      <c r="T2" s="3"/>
      <c r="U2" s="3"/>
      <c r="V2" s="3"/>
      <c r="W2" s="3"/>
    </row>
    <row r="3" spans="1:23" x14ac:dyDescent="0.3">
      <c r="B3" s="1" t="s">
        <v>24</v>
      </c>
      <c r="C3" s="3">
        <v>5795</v>
      </c>
      <c r="D3" s="3"/>
      <c r="E3" s="3">
        <v>10774.894736842105</v>
      </c>
      <c r="F3" s="3"/>
      <c r="G3" s="3">
        <v>8936</v>
      </c>
      <c r="H3" s="3"/>
      <c r="I3" s="3">
        <v>5440</v>
      </c>
      <c r="J3" s="3"/>
      <c r="K3" s="3">
        <v>15290</v>
      </c>
      <c r="M3" s="3"/>
      <c r="N3" s="3"/>
      <c r="P3" s="3"/>
      <c r="R3" s="3"/>
      <c r="S3" s="3"/>
      <c r="T3" s="3"/>
      <c r="V3" s="3"/>
      <c r="W3" s="3"/>
    </row>
    <row r="4" spans="1:23" x14ac:dyDescent="0.3">
      <c r="B4" s="1" t="s">
        <v>5</v>
      </c>
      <c r="C4" s="3">
        <v>6179</v>
      </c>
      <c r="D4" s="3"/>
      <c r="E4" s="3">
        <v>14019</v>
      </c>
      <c r="F4" s="3"/>
      <c r="G4" s="3">
        <v>8965</v>
      </c>
      <c r="H4" s="3"/>
      <c r="I4" s="3">
        <v>6146</v>
      </c>
      <c r="J4" s="3"/>
      <c r="K4" s="3">
        <v>14765</v>
      </c>
      <c r="N4" s="3"/>
      <c r="P4" s="3"/>
      <c r="R4" s="3"/>
      <c r="S4" s="3"/>
      <c r="T4" s="3"/>
      <c r="V4" s="3"/>
      <c r="W4" s="3"/>
    </row>
    <row r="5" spans="1:23" s="11" customFormat="1" x14ac:dyDescent="0.3">
      <c r="A5"/>
      <c r="B5" s="1" t="s">
        <v>6</v>
      </c>
      <c r="C5" s="8">
        <v>6438</v>
      </c>
      <c r="D5" s="10">
        <f>SUM(C2:C5)</f>
        <v>23681</v>
      </c>
      <c r="E5" s="10">
        <f>AVERAGE(C5:C23)</f>
        <v>8882.394736842105</v>
      </c>
      <c r="F5" s="10">
        <f>SUM(E2:E5)</f>
        <v>48859.289473684214</v>
      </c>
      <c r="G5" s="4">
        <f>AVERAGE(E6:E25)</f>
        <v>10211.491641580882</v>
      </c>
      <c r="H5" s="10">
        <f>SUM(G4:G5:G8)</f>
        <v>47398.491641580884</v>
      </c>
      <c r="I5" s="10">
        <v>6215</v>
      </c>
      <c r="J5" s="10">
        <f>SUM(I2:I5)</f>
        <v>22856</v>
      </c>
      <c r="K5" s="10">
        <v>14699</v>
      </c>
      <c r="L5" s="10">
        <f>SUM(K2:K5)</f>
        <v>60192</v>
      </c>
      <c r="N5" s="10"/>
      <c r="P5" s="10"/>
      <c r="R5" s="10"/>
      <c r="S5" s="10"/>
      <c r="T5" s="10"/>
      <c r="V5" s="10"/>
      <c r="W5" s="10"/>
    </row>
    <row r="6" spans="1:23" x14ac:dyDescent="0.3">
      <c r="B6" s="9" t="s">
        <v>25</v>
      </c>
      <c r="C6" s="3">
        <v>6253</v>
      </c>
      <c r="D6" s="3"/>
      <c r="E6" s="3">
        <v>13345</v>
      </c>
      <c r="F6" s="3"/>
      <c r="G6" s="3">
        <v>9575</v>
      </c>
      <c r="H6" s="3"/>
      <c r="I6" s="3">
        <v>6030</v>
      </c>
      <c r="J6" s="3"/>
      <c r="K6" s="3">
        <v>14563</v>
      </c>
      <c r="N6" s="3"/>
      <c r="P6" s="3"/>
      <c r="R6" s="3"/>
      <c r="S6" s="3"/>
      <c r="T6" s="3"/>
      <c r="V6" s="3"/>
      <c r="W6" s="3"/>
    </row>
    <row r="7" spans="1:23" x14ac:dyDescent="0.3">
      <c r="B7" s="1" t="s">
        <v>7</v>
      </c>
      <c r="C7" s="3">
        <v>7331</v>
      </c>
      <c r="D7" s="3"/>
      <c r="E7" s="3">
        <v>13199</v>
      </c>
      <c r="F7" s="3"/>
      <c r="G7" s="3">
        <v>9770</v>
      </c>
      <c r="H7" s="3"/>
      <c r="I7" s="3">
        <v>7302</v>
      </c>
      <c r="J7" s="3"/>
      <c r="K7" s="3">
        <v>13397</v>
      </c>
      <c r="N7" s="3"/>
      <c r="P7" s="3"/>
      <c r="R7" s="3"/>
      <c r="S7" s="3"/>
      <c r="T7" s="3"/>
      <c r="V7" s="3"/>
      <c r="W7" s="3"/>
    </row>
    <row r="8" spans="1:23" x14ac:dyDescent="0.3">
      <c r="B8" s="1" t="s">
        <v>26</v>
      </c>
      <c r="C8" s="3">
        <v>7248</v>
      </c>
      <c r="D8" s="3"/>
      <c r="E8" s="3">
        <v>13101</v>
      </c>
      <c r="F8" s="3"/>
      <c r="G8" s="3">
        <v>8877</v>
      </c>
      <c r="H8" s="3"/>
      <c r="I8" s="3">
        <v>7674</v>
      </c>
      <c r="J8" s="3"/>
      <c r="K8" s="3">
        <v>14134</v>
      </c>
      <c r="N8" s="3"/>
      <c r="P8" s="3"/>
      <c r="R8" s="3"/>
      <c r="S8" s="3"/>
      <c r="T8" s="3"/>
      <c r="V8" s="3"/>
      <c r="W8" s="3"/>
    </row>
    <row r="9" spans="1:23" s="11" customFormat="1" x14ac:dyDescent="0.3">
      <c r="B9" s="1" t="s">
        <v>8</v>
      </c>
      <c r="C9" s="10">
        <v>8770</v>
      </c>
      <c r="D9" s="10">
        <f>SUM(C6:C9)</f>
        <v>29602</v>
      </c>
      <c r="E9" s="10">
        <v>12054</v>
      </c>
      <c r="F9" s="10">
        <f>SUM(E5:E9)</f>
        <v>60581.394736842107</v>
      </c>
      <c r="G9" s="3">
        <v>8810</v>
      </c>
      <c r="H9" s="10">
        <f>SUM(G6:G9)</f>
        <v>37032</v>
      </c>
      <c r="I9" s="10">
        <f>AVERAGE(G9:G27)</f>
        <v>9476.1906315789474</v>
      </c>
      <c r="J9" s="10">
        <f>SUM(I6:I9)</f>
        <v>30482.190631578946</v>
      </c>
      <c r="K9" s="10">
        <v>12986</v>
      </c>
      <c r="L9" s="10">
        <f>SUM(K6:K9)</f>
        <v>55080</v>
      </c>
      <c r="N9" s="10"/>
      <c r="P9" s="10"/>
      <c r="R9" s="10"/>
      <c r="S9" s="10"/>
      <c r="T9" s="10"/>
      <c r="V9" s="10"/>
      <c r="W9" s="10"/>
    </row>
    <row r="10" spans="1:23" x14ac:dyDescent="0.3">
      <c r="B10" s="9" t="s">
        <v>9</v>
      </c>
      <c r="C10" s="3">
        <v>6941</v>
      </c>
      <c r="D10" s="3"/>
      <c r="E10" s="3">
        <f>AVERAGE(C10:C26)</f>
        <v>9661.2977941176468</v>
      </c>
      <c r="F10" s="3"/>
      <c r="G10" s="3">
        <v>8748</v>
      </c>
      <c r="H10" s="3"/>
      <c r="I10" s="3">
        <v>7096</v>
      </c>
      <c r="J10" s="3"/>
      <c r="K10" s="3">
        <v>13412</v>
      </c>
      <c r="N10" s="10"/>
      <c r="P10" s="3"/>
      <c r="R10" s="3"/>
      <c r="S10" s="3"/>
      <c r="T10" s="3"/>
      <c r="V10" s="3"/>
      <c r="W10" s="3"/>
    </row>
    <row r="11" spans="1:23" x14ac:dyDescent="0.3">
      <c r="B11" s="1" t="s">
        <v>10</v>
      </c>
      <c r="C11" s="3">
        <v>7757</v>
      </c>
      <c r="D11" s="3"/>
      <c r="E11" s="3">
        <v>11021</v>
      </c>
      <c r="F11" s="3"/>
      <c r="G11" s="3">
        <v>9901</v>
      </c>
      <c r="H11" s="3"/>
      <c r="I11" s="3">
        <f>AVERAGE(G11:G29)</f>
        <v>9582.1122105263166</v>
      </c>
      <c r="J11" s="3"/>
      <c r="K11" s="3">
        <v>12792</v>
      </c>
      <c r="N11" s="3"/>
      <c r="P11" s="3"/>
      <c r="R11" s="3"/>
      <c r="S11" s="3"/>
      <c r="T11" s="3"/>
      <c r="V11" s="3"/>
      <c r="W11" s="3"/>
    </row>
    <row r="12" spans="1:23" x14ac:dyDescent="0.3">
      <c r="B12" s="1" t="s">
        <v>27</v>
      </c>
      <c r="C12" s="4">
        <v>8621</v>
      </c>
      <c r="D12" s="4"/>
      <c r="E12" s="3">
        <v>10523</v>
      </c>
      <c r="F12" s="3"/>
      <c r="G12" s="3">
        <v>9939</v>
      </c>
      <c r="H12" s="3"/>
      <c r="I12" s="3">
        <v>9059</v>
      </c>
      <c r="J12" s="3"/>
      <c r="K12" s="3">
        <v>12201</v>
      </c>
      <c r="N12" s="3"/>
      <c r="P12" s="3"/>
      <c r="R12" s="3"/>
      <c r="S12" s="3"/>
      <c r="T12" s="3"/>
      <c r="V12" s="3"/>
      <c r="W12" s="3"/>
    </row>
    <row r="13" spans="1:23" s="11" customFormat="1" x14ac:dyDescent="0.3">
      <c r="B13" s="1" t="s">
        <v>11</v>
      </c>
      <c r="C13" s="10">
        <v>8121</v>
      </c>
      <c r="D13" s="10">
        <f>SUM(C9:C12)</f>
        <v>32089</v>
      </c>
      <c r="E13" s="10">
        <v>10121</v>
      </c>
      <c r="F13" s="10">
        <f>SUM(E10:E13)</f>
        <v>41326.29779411765</v>
      </c>
      <c r="G13" s="3">
        <v>9301</v>
      </c>
      <c r="H13" s="10">
        <f>SUM(G10:G13)</f>
        <v>37889</v>
      </c>
      <c r="I13" s="10">
        <f>AVERAGE(G13:G31)</f>
        <v>9542.3607058823545</v>
      </c>
      <c r="J13" s="10">
        <f>SUM(I10:I13)</f>
        <v>35279.472916408675</v>
      </c>
      <c r="K13" s="10">
        <f>AVERAGE(I13:I30)</f>
        <v>11774.239784379635</v>
      </c>
      <c r="L13" s="10">
        <f>SUM(K10:K13)</f>
        <v>50179.239784379635</v>
      </c>
      <c r="N13" s="10"/>
      <c r="P13" s="10"/>
      <c r="R13" s="10"/>
      <c r="S13" s="10"/>
      <c r="T13" s="10"/>
      <c r="V13" s="10"/>
      <c r="W13" s="10"/>
    </row>
    <row r="14" spans="1:23" x14ac:dyDescent="0.3">
      <c r="B14" s="9" t="s">
        <v>12</v>
      </c>
      <c r="C14" s="3">
        <v>9478</v>
      </c>
      <c r="D14" s="3"/>
      <c r="E14" s="3">
        <f>AVERAGE(C14:C30)</f>
        <v>10282.535037500002</v>
      </c>
      <c r="F14" s="3"/>
      <c r="G14" s="4">
        <v>7341</v>
      </c>
      <c r="H14" s="4"/>
      <c r="I14" s="3">
        <v>9168</v>
      </c>
      <c r="J14" s="3"/>
      <c r="K14" s="3">
        <v>11577</v>
      </c>
      <c r="N14" s="3"/>
      <c r="P14" s="3"/>
      <c r="R14" s="3"/>
      <c r="S14" s="3"/>
      <c r="T14" s="3"/>
      <c r="V14" s="3"/>
      <c r="W14" s="3"/>
    </row>
    <row r="15" spans="1:23" x14ac:dyDescent="0.3">
      <c r="B15" s="1" t="s">
        <v>13</v>
      </c>
      <c r="C15" s="4">
        <v>8621.75</v>
      </c>
      <c r="D15" s="4"/>
      <c r="E15" s="3">
        <v>11675</v>
      </c>
      <c r="F15" s="3"/>
      <c r="G15" s="3">
        <v>9883</v>
      </c>
      <c r="H15" s="3"/>
      <c r="I15" s="3">
        <v>11126</v>
      </c>
      <c r="J15" s="3"/>
      <c r="K15" s="3">
        <v>10910</v>
      </c>
      <c r="N15" s="3"/>
      <c r="P15" s="3"/>
      <c r="R15" s="3"/>
      <c r="S15" s="3"/>
      <c r="T15" s="3"/>
      <c r="V15" s="3"/>
      <c r="W15" s="3"/>
    </row>
    <row r="16" spans="1:23" x14ac:dyDescent="0.3">
      <c r="B16" s="1" t="s">
        <v>14</v>
      </c>
      <c r="C16" s="3">
        <v>9056</v>
      </c>
      <c r="D16" s="3"/>
      <c r="E16" s="3">
        <v>12487</v>
      </c>
      <c r="F16" s="3"/>
      <c r="G16" s="3">
        <v>9782</v>
      </c>
      <c r="H16" s="3"/>
      <c r="I16" s="3">
        <f>AVERAGE(G16:G34)</f>
        <v>9692.5094285714295</v>
      </c>
      <c r="J16" s="3"/>
      <c r="K16" s="3">
        <v>12028</v>
      </c>
      <c r="M16" s="4"/>
      <c r="N16" s="3"/>
      <c r="P16" s="3"/>
      <c r="R16" s="3"/>
      <c r="S16" s="3"/>
      <c r="T16" s="3"/>
      <c r="V16" s="3"/>
      <c r="W16" s="3"/>
    </row>
    <row r="17" spans="2:23" s="11" customFormat="1" x14ac:dyDescent="0.3">
      <c r="B17" s="1" t="s">
        <v>15</v>
      </c>
      <c r="C17" s="10">
        <v>10406</v>
      </c>
      <c r="D17" s="10">
        <f>SUM(C14:C17)</f>
        <v>37561.75</v>
      </c>
      <c r="E17" s="10">
        <v>11811</v>
      </c>
      <c r="F17" s="10">
        <f>SUM(E14:E17)</f>
        <v>46255.535037499998</v>
      </c>
      <c r="G17" s="3">
        <v>9958</v>
      </c>
      <c r="H17" s="10">
        <f>SUM(G14:G17)</f>
        <v>36964</v>
      </c>
      <c r="I17" s="10">
        <v>10404</v>
      </c>
      <c r="J17" s="10">
        <f>SUM(I14:I17)</f>
        <v>40390.509428571429</v>
      </c>
      <c r="K17" s="10">
        <v>9340</v>
      </c>
      <c r="L17" s="10">
        <f>SUM(K14:K17)</f>
        <v>43855</v>
      </c>
      <c r="N17" s="10"/>
      <c r="P17" s="10"/>
      <c r="R17" s="10"/>
      <c r="S17" s="10"/>
      <c r="T17" s="10"/>
      <c r="V17" s="10"/>
      <c r="W17" s="10"/>
    </row>
    <row r="18" spans="2:23" x14ac:dyDescent="0.3">
      <c r="B18" s="9" t="s">
        <v>16</v>
      </c>
      <c r="C18" s="3">
        <v>13014</v>
      </c>
      <c r="D18" s="3"/>
      <c r="E18" s="3">
        <v>7542</v>
      </c>
      <c r="F18" s="3"/>
      <c r="G18" s="4">
        <v>8764</v>
      </c>
      <c r="H18" s="4"/>
      <c r="I18" s="3">
        <v>10061</v>
      </c>
      <c r="J18" s="3"/>
      <c r="K18" s="3">
        <v>11107</v>
      </c>
      <c r="N18" s="3"/>
      <c r="P18" s="3"/>
      <c r="R18" s="3"/>
      <c r="S18" s="3"/>
      <c r="T18" s="3"/>
      <c r="V18" s="3"/>
    </row>
    <row r="19" spans="2:23" x14ac:dyDescent="0.3">
      <c r="B19" s="1" t="s">
        <v>17</v>
      </c>
      <c r="C19" s="3">
        <v>11051</v>
      </c>
      <c r="D19" s="3"/>
      <c r="E19" s="3">
        <v>9343</v>
      </c>
      <c r="F19" s="3"/>
      <c r="G19" s="3">
        <v>8842</v>
      </c>
      <c r="H19" s="3"/>
      <c r="I19" s="3">
        <v>10598</v>
      </c>
      <c r="J19" s="3"/>
      <c r="K19" s="3">
        <v>8254</v>
      </c>
      <c r="N19" s="3"/>
      <c r="P19" s="3"/>
      <c r="R19" s="3"/>
      <c r="S19" s="3"/>
      <c r="T19" s="3"/>
      <c r="V19" s="3"/>
    </row>
    <row r="20" spans="2:23" x14ac:dyDescent="0.3">
      <c r="B20" s="1" t="s">
        <v>18</v>
      </c>
      <c r="C20" s="3">
        <v>9121</v>
      </c>
      <c r="D20" s="3"/>
      <c r="E20" s="3">
        <v>9650</v>
      </c>
      <c r="F20" s="3"/>
      <c r="G20" s="3">
        <v>10243</v>
      </c>
      <c r="H20" s="3"/>
      <c r="I20" s="3">
        <v>10849</v>
      </c>
      <c r="J20" s="3"/>
      <c r="K20" s="3">
        <v>11959</v>
      </c>
      <c r="N20" s="3"/>
      <c r="P20" s="3"/>
      <c r="R20" s="3"/>
      <c r="S20" s="3"/>
      <c r="T20" s="3"/>
      <c r="V20" s="3"/>
    </row>
    <row r="21" spans="2:23" s="11" customFormat="1" x14ac:dyDescent="0.3">
      <c r="B21" s="7" t="s">
        <v>23</v>
      </c>
      <c r="C21" s="12">
        <v>8621.75</v>
      </c>
      <c r="D21" s="12">
        <f>SUM(C18:C21)</f>
        <v>41807.75</v>
      </c>
      <c r="E21" s="10">
        <v>8765</v>
      </c>
      <c r="F21" s="10">
        <f>SUM(E18:E21)</f>
        <v>35300</v>
      </c>
      <c r="G21" s="3">
        <v>9306</v>
      </c>
      <c r="H21" s="10">
        <f>SUM(G18:G21)</f>
        <v>37155</v>
      </c>
      <c r="I21" s="10">
        <v>14637</v>
      </c>
      <c r="J21" s="10">
        <f>SUM(I18:I21)</f>
        <v>46145</v>
      </c>
      <c r="K21" s="10">
        <v>8618</v>
      </c>
      <c r="L21" s="10">
        <f>SUM(K18:K21)</f>
        <v>39938</v>
      </c>
      <c r="N21" s="10"/>
      <c r="R21" s="10"/>
      <c r="S21" s="10"/>
      <c r="T21" s="10"/>
      <c r="V21" s="10"/>
    </row>
    <row r="22" spans="2:23" x14ac:dyDescent="0.3">
      <c r="B22" s="9" t="s">
        <v>19</v>
      </c>
      <c r="C22" s="3">
        <v>11813</v>
      </c>
      <c r="D22" s="3"/>
      <c r="E22" s="3">
        <v>5913</v>
      </c>
      <c r="F22" s="3"/>
      <c r="G22" s="3">
        <v>10139</v>
      </c>
      <c r="H22" s="3"/>
      <c r="I22" s="3">
        <v>15038</v>
      </c>
      <c r="J22" s="3"/>
      <c r="K22" s="3">
        <v>7721</v>
      </c>
      <c r="N22" s="3"/>
      <c r="R22" s="3"/>
      <c r="S22" s="3"/>
      <c r="V22" s="3"/>
    </row>
    <row r="23" spans="2:23" x14ac:dyDescent="0.3">
      <c r="B23" s="1" t="s">
        <v>20</v>
      </c>
      <c r="C23" s="3">
        <v>10103</v>
      </c>
      <c r="D23" s="3"/>
      <c r="E23" s="3">
        <v>8149</v>
      </c>
      <c r="F23" s="3"/>
      <c r="G23" s="3">
        <v>9513</v>
      </c>
      <c r="H23" s="3"/>
      <c r="I23" s="3">
        <v>9571</v>
      </c>
      <c r="J23" s="3"/>
      <c r="K23" s="3">
        <v>5191</v>
      </c>
      <c r="N23" s="3"/>
      <c r="S23" s="3"/>
    </row>
    <row r="24" spans="2:23" x14ac:dyDescent="0.3">
      <c r="B24" s="1" t="s">
        <v>21</v>
      </c>
      <c r="C24" s="3">
        <v>12291</v>
      </c>
      <c r="D24" s="3"/>
      <c r="E24" s="3">
        <v>10661</v>
      </c>
      <c r="F24" s="3"/>
      <c r="G24" s="3">
        <v>10097</v>
      </c>
      <c r="H24" s="3"/>
      <c r="I24" s="3">
        <v>14749</v>
      </c>
      <c r="J24" s="3"/>
      <c r="K24" s="3">
        <v>7670</v>
      </c>
      <c r="S24" s="3"/>
    </row>
    <row r="25" spans="2:23" x14ac:dyDescent="0.3">
      <c r="B25" s="1" t="s">
        <v>22</v>
      </c>
      <c r="C25" s="3">
        <v>8622</v>
      </c>
      <c r="D25" s="3">
        <f>SUM(C22:C25)</f>
        <v>42829</v>
      </c>
      <c r="E25" s="3">
        <v>4926</v>
      </c>
      <c r="F25" s="3">
        <f>SUM(E22:E25)</f>
        <v>29649</v>
      </c>
      <c r="G25" s="3">
        <v>10005</v>
      </c>
      <c r="H25" s="3">
        <f>SUM(G22:G25)</f>
        <v>39754</v>
      </c>
      <c r="I25" s="3">
        <v>11065</v>
      </c>
      <c r="J25" s="3">
        <f>SUM(I22:I25)</f>
        <v>50423</v>
      </c>
      <c r="K25" s="3">
        <v>7551</v>
      </c>
      <c r="L25" s="3">
        <f>SUM(K22:K25)</f>
        <v>28133</v>
      </c>
      <c r="S25" s="3"/>
    </row>
    <row r="26" spans="2:23" x14ac:dyDescent="0.3">
      <c r="B26" s="9" t="s">
        <v>30</v>
      </c>
      <c r="C26" s="14">
        <f>-9.3171*(D26^2)+472.23*(D26)+4621</f>
        <v>10603.5625</v>
      </c>
      <c r="D26">
        <v>25</v>
      </c>
      <c r="E26" s="13">
        <f xml:space="preserve"> -6.4994*(F26^2) - 85.819*(F26) + 12945</f>
        <v>6737.4000000000005</v>
      </c>
      <c r="F26">
        <v>25</v>
      </c>
      <c r="G26" s="14">
        <f>23.722*(H26)+9132.9</f>
        <v>9725.9499999999989</v>
      </c>
      <c r="H26">
        <v>25</v>
      </c>
      <c r="I26" s="14">
        <f xml:space="preserve"> -5.3467*(J26)^2 + 477.57*(J26) + 4521.1</f>
        <v>13118.6625</v>
      </c>
      <c r="J26">
        <v>25</v>
      </c>
      <c r="K26" s="14">
        <f>-377.31*(L26)+16274</f>
        <v>6841.25</v>
      </c>
      <c r="L26">
        <v>25</v>
      </c>
    </row>
    <row r="27" spans="2:23" x14ac:dyDescent="0.3">
      <c r="B27" s="1" t="s">
        <v>31</v>
      </c>
      <c r="C27" s="14">
        <f t="shared" ref="C27:C28" si="0">-9.3171*(D27^2)+472.23*(D27)+4621</f>
        <v>10600.6204</v>
      </c>
      <c r="D27">
        <v>26</v>
      </c>
      <c r="E27" s="13">
        <f t="shared" ref="E27:E29" si="1" xml:space="preserve"> -6.4994*(F27^2) - 85.819*(F27) + 12945</f>
        <v>6320.1116000000002</v>
      </c>
      <c r="F27">
        <v>26</v>
      </c>
      <c r="G27" s="14">
        <f t="shared" ref="G27:G29" si="2">23.722*(H27)+9132.9</f>
        <v>9749.6720000000005</v>
      </c>
      <c r="H27">
        <v>26</v>
      </c>
      <c r="I27" s="14">
        <f t="shared" ref="I27:I29" si="3" xml:space="preserve"> -5.3467*(J27)^2 + 477.57*(J27) + 4521.1</f>
        <v>13323.550799999999</v>
      </c>
      <c r="J27">
        <v>26</v>
      </c>
      <c r="K27" s="14">
        <f t="shared" ref="K27:K29" si="4">-377.31*(L27)+16274</f>
        <v>6463.9400000000005</v>
      </c>
      <c r="L27">
        <v>26</v>
      </c>
    </row>
    <row r="28" spans="2:23" x14ac:dyDescent="0.3">
      <c r="B28" s="1" t="s">
        <v>32</v>
      </c>
      <c r="C28" s="14">
        <f t="shared" si="0"/>
        <v>10579.044100000001</v>
      </c>
      <c r="D28">
        <v>27</v>
      </c>
      <c r="E28" s="13">
        <f t="shared" si="1"/>
        <v>5889.8244000000004</v>
      </c>
      <c r="F28">
        <v>27</v>
      </c>
      <c r="G28" s="14">
        <f>23.722*(H28)+9132.9</f>
        <v>9773.3940000000002</v>
      </c>
      <c r="H28">
        <v>27</v>
      </c>
      <c r="I28" s="14">
        <f t="shared" si="3"/>
        <v>13517.745699999999</v>
      </c>
      <c r="J28">
        <v>27</v>
      </c>
      <c r="K28" s="14">
        <f t="shared" si="4"/>
        <v>6086.6299999999992</v>
      </c>
      <c r="L28">
        <v>27</v>
      </c>
    </row>
    <row r="29" spans="2:23" x14ac:dyDescent="0.3">
      <c r="B29" s="1" t="s">
        <v>33</v>
      </c>
      <c r="C29" s="14">
        <f>-9.3171*(D29^2)+472.23*(D29)+4621</f>
        <v>10538.833600000002</v>
      </c>
      <c r="D29">
        <v>28</v>
      </c>
      <c r="E29" s="13">
        <f t="shared" si="1"/>
        <v>5446.5383999999995</v>
      </c>
      <c r="F29">
        <v>28</v>
      </c>
      <c r="G29" s="14">
        <f t="shared" si="2"/>
        <v>9797.116</v>
      </c>
      <c r="H29">
        <v>28</v>
      </c>
      <c r="I29" s="14">
        <f t="shared" si="3"/>
        <v>13701.2472</v>
      </c>
      <c r="J29">
        <v>28</v>
      </c>
      <c r="K29" s="14">
        <f t="shared" si="4"/>
        <v>5709.32</v>
      </c>
      <c r="L29">
        <v>28</v>
      </c>
    </row>
  </sheetData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3718FC00-BD59-4529-9C07-72D9BF75012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'Revenue Data'!D5:D25</xm:f>
              <xm:sqref>N16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6B8EB-2AF2-48E7-B2C4-D952AF77BD1B}">
  <dimension ref="A1:T132"/>
  <sheetViews>
    <sheetView topLeftCell="A6" zoomScaleNormal="100" workbookViewId="0">
      <selection activeCell="Y34" sqref="Y34"/>
    </sheetView>
  </sheetViews>
  <sheetFormatPr defaultRowHeight="14.4" x14ac:dyDescent="0.3"/>
  <cols>
    <col min="1" max="1" width="22.109375" customWidth="1"/>
    <col min="2" max="2" width="9.88671875" bestFit="1" customWidth="1"/>
    <col min="4" max="4" width="14.21875" customWidth="1"/>
    <col min="5" max="5" width="14" customWidth="1"/>
  </cols>
  <sheetData>
    <row r="1" spans="1:20" x14ac:dyDescent="0.3">
      <c r="A1" s="2" t="s">
        <v>28</v>
      </c>
      <c r="B1" s="16" t="s">
        <v>0</v>
      </c>
      <c r="C1" s="16" t="s">
        <v>1</v>
      </c>
      <c r="D1" s="16" t="s">
        <v>2</v>
      </c>
      <c r="E1" s="16" t="s">
        <v>3</v>
      </c>
      <c r="F1" s="16" t="s">
        <v>4</v>
      </c>
    </row>
    <row r="2" spans="1:20" x14ac:dyDescent="0.3">
      <c r="A2" s="7" t="s">
        <v>34</v>
      </c>
      <c r="B2" s="3">
        <v>5269</v>
      </c>
      <c r="C2" s="3">
        <v>15183</v>
      </c>
      <c r="D2" s="22">
        <v>9399</v>
      </c>
      <c r="E2" s="3">
        <v>5055</v>
      </c>
      <c r="F2" s="3">
        <v>15438</v>
      </c>
    </row>
    <row r="3" spans="1:20" x14ac:dyDescent="0.3">
      <c r="A3" s="1" t="s">
        <v>35</v>
      </c>
      <c r="B3" s="3">
        <v>5795</v>
      </c>
      <c r="C3" s="3">
        <v>10774.894736842105</v>
      </c>
      <c r="D3" s="22">
        <v>8936</v>
      </c>
      <c r="E3" s="3">
        <v>5440</v>
      </c>
      <c r="F3" s="3">
        <v>15290</v>
      </c>
    </row>
    <row r="4" spans="1:20" x14ac:dyDescent="0.3">
      <c r="A4" s="1" t="s">
        <v>36</v>
      </c>
      <c r="B4" s="3">
        <v>6179</v>
      </c>
      <c r="C4" s="3">
        <v>14019</v>
      </c>
      <c r="D4" s="22">
        <v>8965</v>
      </c>
      <c r="E4" s="3">
        <v>6146</v>
      </c>
      <c r="F4" s="3">
        <v>14765</v>
      </c>
      <c r="T4" s="3"/>
    </row>
    <row r="5" spans="1:20" x14ac:dyDescent="0.3">
      <c r="A5" s="1" t="s">
        <v>37</v>
      </c>
      <c r="B5" s="3">
        <v>6438</v>
      </c>
      <c r="C5" s="19">
        <v>12560</v>
      </c>
      <c r="D5" s="22">
        <f>AVERAGE(B6:B25)</f>
        <v>8727.7250000000004</v>
      </c>
      <c r="E5" s="3">
        <v>6215</v>
      </c>
      <c r="F5" s="3">
        <v>14699</v>
      </c>
      <c r="Q5" s="5"/>
      <c r="T5" s="3"/>
    </row>
    <row r="6" spans="1:20" x14ac:dyDescent="0.3">
      <c r="A6" s="9" t="s">
        <v>38</v>
      </c>
      <c r="B6" s="3">
        <v>6253</v>
      </c>
      <c r="C6" s="3">
        <v>15183</v>
      </c>
      <c r="D6" s="22">
        <v>9575</v>
      </c>
      <c r="E6" s="3">
        <v>6030</v>
      </c>
      <c r="F6" s="3">
        <v>14563</v>
      </c>
      <c r="Q6" s="3"/>
      <c r="T6" s="3"/>
    </row>
    <row r="7" spans="1:20" x14ac:dyDescent="0.3">
      <c r="A7" s="1" t="s">
        <v>39</v>
      </c>
      <c r="B7" s="3">
        <v>7331</v>
      </c>
      <c r="C7" s="3">
        <v>10774.894736842105</v>
      </c>
      <c r="D7" s="22">
        <v>9770</v>
      </c>
      <c r="E7" s="3">
        <v>7302</v>
      </c>
      <c r="F7" s="3">
        <v>13397</v>
      </c>
      <c r="Q7" s="3"/>
      <c r="T7" s="4"/>
    </row>
    <row r="8" spans="1:20" x14ac:dyDescent="0.3">
      <c r="A8" s="1" t="s">
        <v>40</v>
      </c>
      <c r="B8" s="3">
        <v>7248</v>
      </c>
      <c r="C8" s="3">
        <v>14019</v>
      </c>
      <c r="D8" s="22">
        <v>8877</v>
      </c>
      <c r="E8" s="3">
        <v>7674</v>
      </c>
      <c r="F8" s="3">
        <v>14134</v>
      </c>
      <c r="Q8" s="3"/>
      <c r="T8" s="3"/>
    </row>
    <row r="9" spans="1:20" x14ac:dyDescent="0.3">
      <c r="A9" s="1" t="s">
        <v>41</v>
      </c>
      <c r="B9" s="3">
        <v>8770</v>
      </c>
      <c r="C9" s="3">
        <v>12504</v>
      </c>
      <c r="D9" s="22">
        <v>8810</v>
      </c>
      <c r="E9" s="3">
        <f>AVERAGE(C9:C27)</f>
        <v>10952.026315789473</v>
      </c>
      <c r="F9" s="3">
        <v>12986</v>
      </c>
      <c r="Q9" s="3"/>
      <c r="T9" s="3"/>
    </row>
    <row r="10" spans="1:20" x14ac:dyDescent="0.3">
      <c r="A10" s="9" t="s">
        <v>42</v>
      </c>
      <c r="B10" s="3">
        <v>6941</v>
      </c>
      <c r="C10" s="3">
        <v>13345</v>
      </c>
      <c r="D10" s="22">
        <v>8748</v>
      </c>
      <c r="E10" s="3">
        <v>7096</v>
      </c>
      <c r="F10" s="3">
        <v>13412</v>
      </c>
      <c r="Q10" s="3"/>
      <c r="T10" s="3"/>
    </row>
    <row r="11" spans="1:20" x14ac:dyDescent="0.3">
      <c r="A11" s="1" t="s">
        <v>43</v>
      </c>
      <c r="B11" s="3">
        <v>7757</v>
      </c>
      <c r="C11" s="3">
        <v>13199</v>
      </c>
      <c r="D11" s="22">
        <v>9901</v>
      </c>
      <c r="E11" s="3">
        <f>AVERAGE(C11:C29)</f>
        <v>10495.781052631579</v>
      </c>
      <c r="F11" s="3">
        <v>12792</v>
      </c>
      <c r="Q11" s="3"/>
      <c r="T11" s="3"/>
    </row>
    <row r="12" spans="1:20" x14ac:dyDescent="0.3">
      <c r="A12" s="1" t="s">
        <v>44</v>
      </c>
      <c r="B12" s="4">
        <v>8621</v>
      </c>
      <c r="C12" s="3">
        <v>13101</v>
      </c>
      <c r="D12" s="22">
        <v>9939</v>
      </c>
      <c r="E12" s="3">
        <v>9059</v>
      </c>
      <c r="F12" s="3">
        <v>12201</v>
      </c>
      <c r="Q12" s="3"/>
      <c r="T12" s="3"/>
    </row>
    <row r="13" spans="1:20" x14ac:dyDescent="0.3">
      <c r="A13" s="1" t="s">
        <v>45</v>
      </c>
      <c r="B13" s="3">
        <v>8121</v>
      </c>
      <c r="C13" s="3">
        <v>12054</v>
      </c>
      <c r="D13" s="22">
        <v>9301</v>
      </c>
      <c r="E13" s="3">
        <f>AVERAGE(C13:C31)</f>
        <v>10183.52</v>
      </c>
      <c r="F13" s="3">
        <v>11774</v>
      </c>
      <c r="Q13" s="3"/>
      <c r="T13" s="3"/>
    </row>
    <row r="14" spans="1:20" x14ac:dyDescent="0.3">
      <c r="A14" s="9" t="s">
        <v>46</v>
      </c>
      <c r="B14" s="3">
        <v>9478</v>
      </c>
      <c r="C14" s="3">
        <v>10283</v>
      </c>
      <c r="D14" s="22">
        <v>7341</v>
      </c>
      <c r="E14" s="3">
        <v>9168</v>
      </c>
      <c r="F14" s="3">
        <v>11577</v>
      </c>
      <c r="Q14" s="3"/>
      <c r="T14" s="3"/>
    </row>
    <row r="15" spans="1:20" x14ac:dyDescent="0.3">
      <c r="A15" s="1" t="s">
        <v>47</v>
      </c>
      <c r="B15" s="4">
        <v>8621.75</v>
      </c>
      <c r="C15" s="3">
        <v>11021</v>
      </c>
      <c r="D15" s="22">
        <v>9883</v>
      </c>
      <c r="E15" s="3">
        <v>11126</v>
      </c>
      <c r="F15" s="3">
        <v>10910</v>
      </c>
      <c r="Q15" s="3"/>
      <c r="T15" s="3"/>
    </row>
    <row r="16" spans="1:20" x14ac:dyDescent="0.3">
      <c r="A16" s="1" t="s">
        <v>48</v>
      </c>
      <c r="B16" s="3">
        <v>9056</v>
      </c>
      <c r="C16" s="3">
        <v>10523</v>
      </c>
      <c r="D16" s="22">
        <v>9782</v>
      </c>
      <c r="E16" s="3">
        <f>AVERAGE(C16:C34)</f>
        <v>9982.988571428572</v>
      </c>
      <c r="F16" s="3">
        <v>12028</v>
      </c>
      <c r="Q16" s="3"/>
      <c r="T16" s="4"/>
    </row>
    <row r="17" spans="1:20" x14ac:dyDescent="0.3">
      <c r="A17" s="1" t="s">
        <v>49</v>
      </c>
      <c r="B17" s="3">
        <v>10406</v>
      </c>
      <c r="C17" s="3">
        <v>10121</v>
      </c>
      <c r="D17" s="22">
        <v>9958</v>
      </c>
      <c r="E17" s="3">
        <v>10404</v>
      </c>
      <c r="F17" s="3">
        <v>9340</v>
      </c>
      <c r="Q17" s="3"/>
      <c r="T17" s="3"/>
    </row>
    <row r="18" spans="1:20" x14ac:dyDescent="0.3">
      <c r="A18" s="9" t="s">
        <v>50</v>
      </c>
      <c r="B18" s="3">
        <v>7890</v>
      </c>
      <c r="C18" s="3">
        <v>7542</v>
      </c>
      <c r="D18" s="22">
        <v>8764</v>
      </c>
      <c r="E18" s="3">
        <v>10061</v>
      </c>
      <c r="F18" s="3">
        <v>11107</v>
      </c>
      <c r="Q18" s="3"/>
      <c r="T18" s="3"/>
    </row>
    <row r="19" spans="1:20" x14ac:dyDescent="0.3">
      <c r="A19" s="1" t="s">
        <v>51</v>
      </c>
      <c r="B19" s="3">
        <v>8790</v>
      </c>
      <c r="C19" s="3">
        <v>11675</v>
      </c>
      <c r="D19" s="22">
        <v>8842</v>
      </c>
      <c r="E19" s="3">
        <v>10598</v>
      </c>
      <c r="F19" s="3">
        <v>8254</v>
      </c>
      <c r="Q19" s="3"/>
      <c r="T19" s="3"/>
    </row>
    <row r="20" spans="1:20" x14ac:dyDescent="0.3">
      <c r="A20" s="1" t="s">
        <v>52</v>
      </c>
      <c r="B20" s="3">
        <v>9121</v>
      </c>
      <c r="C20" s="3">
        <v>12487</v>
      </c>
      <c r="D20" s="22">
        <v>10243</v>
      </c>
      <c r="E20" s="3">
        <v>10849</v>
      </c>
      <c r="F20" s="3">
        <v>11959</v>
      </c>
      <c r="Q20" s="3"/>
      <c r="T20" s="4"/>
    </row>
    <row r="21" spans="1:20" x14ac:dyDescent="0.3">
      <c r="A21" s="7" t="s">
        <v>34</v>
      </c>
      <c r="B21" s="17">
        <v>8621.75</v>
      </c>
      <c r="C21" s="3">
        <v>11811</v>
      </c>
      <c r="D21" s="22">
        <v>9306</v>
      </c>
      <c r="E21" s="3">
        <v>14637</v>
      </c>
      <c r="F21" s="3">
        <v>8618</v>
      </c>
      <c r="Q21" s="3"/>
      <c r="T21" s="3"/>
    </row>
    <row r="22" spans="1:20" x14ac:dyDescent="0.3">
      <c r="A22" s="9" t="s">
        <v>53</v>
      </c>
      <c r="B22" s="3">
        <v>11813</v>
      </c>
      <c r="C22" s="3">
        <v>7542</v>
      </c>
      <c r="D22" s="22">
        <v>10139</v>
      </c>
      <c r="E22" s="3">
        <v>15038</v>
      </c>
      <c r="F22" s="3">
        <v>7721</v>
      </c>
      <c r="Q22" s="3"/>
      <c r="T22" s="3"/>
    </row>
    <row r="23" spans="1:20" x14ac:dyDescent="0.3">
      <c r="A23" s="1" t="s">
        <v>54</v>
      </c>
      <c r="B23" s="3">
        <v>10103</v>
      </c>
      <c r="C23" s="3">
        <v>9343</v>
      </c>
      <c r="D23" s="22">
        <v>9513</v>
      </c>
      <c r="E23" s="3">
        <v>9571</v>
      </c>
      <c r="F23" s="3">
        <v>5191</v>
      </c>
      <c r="Q23" s="3"/>
      <c r="T23" s="3"/>
    </row>
    <row r="24" spans="1:20" x14ac:dyDescent="0.3">
      <c r="A24" s="1" t="s">
        <v>55</v>
      </c>
      <c r="B24" s="3">
        <v>10990</v>
      </c>
      <c r="C24" s="3">
        <v>9650</v>
      </c>
      <c r="D24" s="22">
        <v>10097</v>
      </c>
      <c r="E24" s="3">
        <v>14749</v>
      </c>
      <c r="F24" s="3">
        <v>7670</v>
      </c>
      <c r="Q24" s="3"/>
      <c r="T24" s="3"/>
    </row>
    <row r="25" spans="1:20" x14ac:dyDescent="0.3">
      <c r="A25" s="1" t="s">
        <v>56</v>
      </c>
      <c r="B25" s="3">
        <v>8622</v>
      </c>
      <c r="C25" s="3">
        <v>8765</v>
      </c>
      <c r="D25" s="22">
        <v>10005</v>
      </c>
      <c r="E25" s="3">
        <v>11065</v>
      </c>
      <c r="F25" s="3">
        <v>7551</v>
      </c>
      <c r="Q25" s="3"/>
      <c r="T25" s="3"/>
    </row>
    <row r="26" spans="1:20" x14ac:dyDescent="0.3">
      <c r="A26" s="1" t="s">
        <v>57</v>
      </c>
      <c r="B26" s="15">
        <f>196.56*(G26)+5802.8</f>
        <v>10716.8</v>
      </c>
      <c r="C26" s="3">
        <f>-212.22*(G25)+14214</f>
        <v>14214</v>
      </c>
      <c r="D26" s="18">
        <f>23.723*(G25)+9132.9</f>
        <v>9132.9</v>
      </c>
      <c r="E26" s="3">
        <f>336.49*(G26)+5331.3</f>
        <v>13743.55</v>
      </c>
      <c r="F26" s="18">
        <f>-377.31*(G26)+16274</f>
        <v>6841.25</v>
      </c>
      <c r="G26" s="21">
        <v>25</v>
      </c>
      <c r="Q26" s="3"/>
      <c r="T26" s="3"/>
    </row>
    <row r="27" spans="1:20" x14ac:dyDescent="0.3">
      <c r="A27" s="1" t="s">
        <v>58</v>
      </c>
      <c r="B27" s="15">
        <f t="shared" ref="B27:B29" si="0">196.56*(G27)+5802.8</f>
        <v>10913.36</v>
      </c>
      <c r="C27" s="3">
        <f t="shared" ref="C27:C29" si="1">-212.22*(G26)+14214</f>
        <v>8908.5</v>
      </c>
      <c r="D27" s="18">
        <f t="shared" ref="D27:D29" si="2">23.723*(G26)+9132.9</f>
        <v>9725.9750000000004</v>
      </c>
      <c r="E27" s="3">
        <f>336.49*(G27)+5331.3</f>
        <v>14080.04</v>
      </c>
      <c r="F27" s="18">
        <f t="shared" ref="F27:F29" si="3">-377.31*(G27)+16274</f>
        <v>6463.9400000000005</v>
      </c>
      <c r="G27" s="21">
        <v>26</v>
      </c>
      <c r="Q27" s="3"/>
      <c r="T27" s="3"/>
    </row>
    <row r="28" spans="1:20" x14ac:dyDescent="0.3">
      <c r="A28" s="20" t="s">
        <v>59</v>
      </c>
      <c r="B28" s="15">
        <f t="shared" si="0"/>
        <v>11109.92</v>
      </c>
      <c r="C28" s="3">
        <f t="shared" si="1"/>
        <v>8696.2799999999988</v>
      </c>
      <c r="D28" s="18">
        <f t="shared" si="2"/>
        <v>9749.6980000000003</v>
      </c>
      <c r="E28" s="3">
        <f t="shared" ref="E28:E29" si="4">336.49*(G28)+5331.3</f>
        <v>14416.529999999999</v>
      </c>
      <c r="F28" s="18">
        <f t="shared" si="3"/>
        <v>6086.6299999999992</v>
      </c>
      <c r="G28" s="21">
        <v>27</v>
      </c>
      <c r="Q28" s="3"/>
    </row>
    <row r="29" spans="1:20" x14ac:dyDescent="0.3">
      <c r="A29" s="20" t="s">
        <v>60</v>
      </c>
      <c r="B29" s="15">
        <f t="shared" si="0"/>
        <v>11306.48</v>
      </c>
      <c r="C29" s="3">
        <f t="shared" si="1"/>
        <v>8484.0600000000013</v>
      </c>
      <c r="D29" s="18">
        <f t="shared" si="2"/>
        <v>9773.4210000000003</v>
      </c>
      <c r="E29" s="3">
        <f t="shared" si="4"/>
        <v>14753.02</v>
      </c>
      <c r="F29" s="18">
        <f t="shared" si="3"/>
        <v>5709.32</v>
      </c>
      <c r="G29" s="21">
        <v>28</v>
      </c>
      <c r="Q29" s="3"/>
    </row>
    <row r="30" spans="1:20" x14ac:dyDescent="0.3">
      <c r="C30" s="13"/>
      <c r="Q30" s="13"/>
    </row>
    <row r="31" spans="1:20" x14ac:dyDescent="0.3">
      <c r="C31" s="13"/>
      <c r="Q31" s="13"/>
    </row>
    <row r="32" spans="1:20" x14ac:dyDescent="0.3">
      <c r="C32" s="13"/>
      <c r="Q32" s="13"/>
    </row>
    <row r="33" spans="3:17" x14ac:dyDescent="0.3">
      <c r="C33" s="13"/>
      <c r="I33" s="23"/>
      <c r="Q33" s="13"/>
    </row>
    <row r="34" spans="3:17" x14ac:dyDescent="0.3">
      <c r="I34" s="23"/>
    </row>
    <row r="35" spans="3:17" x14ac:dyDescent="0.3">
      <c r="I35" s="23"/>
    </row>
    <row r="36" spans="3:17" x14ac:dyDescent="0.3">
      <c r="I36" s="23"/>
    </row>
    <row r="109" spans="11:11" x14ac:dyDescent="0.3">
      <c r="K109" s="3">
        <v>5055</v>
      </c>
    </row>
    <row r="110" spans="11:11" x14ac:dyDescent="0.3">
      <c r="K110" s="3">
        <v>5440</v>
      </c>
    </row>
    <row r="111" spans="11:11" x14ac:dyDescent="0.3">
      <c r="K111" s="3">
        <v>6146</v>
      </c>
    </row>
    <row r="112" spans="11:11" x14ac:dyDescent="0.3">
      <c r="K112" s="3">
        <v>6215</v>
      </c>
    </row>
    <row r="113" spans="11:11" x14ac:dyDescent="0.3">
      <c r="K113" s="3">
        <v>6030</v>
      </c>
    </row>
    <row r="114" spans="11:11" x14ac:dyDescent="0.3">
      <c r="K114" s="3">
        <v>7302</v>
      </c>
    </row>
    <row r="115" spans="11:11" x14ac:dyDescent="0.3">
      <c r="K115" s="3">
        <v>7674</v>
      </c>
    </row>
    <row r="116" spans="11:11" x14ac:dyDescent="0.3">
      <c r="K116" s="3">
        <v>6741</v>
      </c>
    </row>
    <row r="117" spans="11:11" x14ac:dyDescent="0.3">
      <c r="K117" s="3">
        <v>7096</v>
      </c>
    </row>
    <row r="118" spans="11:11" x14ac:dyDescent="0.3">
      <c r="K118" s="3">
        <v>6789</v>
      </c>
    </row>
    <row r="119" spans="11:11" x14ac:dyDescent="0.3">
      <c r="K119" s="3">
        <v>9059</v>
      </c>
    </row>
    <row r="120" spans="11:11" x14ac:dyDescent="0.3">
      <c r="K120" s="3">
        <v>5789</v>
      </c>
    </row>
    <row r="121" spans="11:11" x14ac:dyDescent="0.3">
      <c r="K121" s="3">
        <v>9168</v>
      </c>
    </row>
    <row r="122" spans="11:11" x14ac:dyDescent="0.3">
      <c r="K122" s="3">
        <v>9890</v>
      </c>
    </row>
    <row r="123" spans="11:11" x14ac:dyDescent="0.3">
      <c r="K123" s="3">
        <v>9567</v>
      </c>
    </row>
    <row r="124" spans="11:11" x14ac:dyDescent="0.3">
      <c r="K124" s="3">
        <v>10404</v>
      </c>
    </row>
    <row r="125" spans="11:11" x14ac:dyDescent="0.3">
      <c r="K125" s="3">
        <v>10061</v>
      </c>
    </row>
    <row r="126" spans="11:11" x14ac:dyDescent="0.3">
      <c r="K126" s="3">
        <v>10598</v>
      </c>
    </row>
    <row r="127" spans="11:11" x14ac:dyDescent="0.3">
      <c r="K127" s="3">
        <v>10849</v>
      </c>
    </row>
    <row r="128" spans="11:11" x14ac:dyDescent="0.3">
      <c r="K128" s="3">
        <v>14637</v>
      </c>
    </row>
    <row r="129" spans="11:11" x14ac:dyDescent="0.3">
      <c r="K129" s="3">
        <v>15038</v>
      </c>
    </row>
    <row r="130" spans="11:11" x14ac:dyDescent="0.3">
      <c r="K130" s="3">
        <v>9571</v>
      </c>
    </row>
    <row r="131" spans="11:11" x14ac:dyDescent="0.3">
      <c r="K131" s="3">
        <v>14749</v>
      </c>
    </row>
    <row r="132" spans="11:11" x14ac:dyDescent="0.3">
      <c r="K132" s="3">
        <v>11065</v>
      </c>
    </row>
  </sheetData>
  <phoneticPr fontId="4" type="noConversion"/>
  <conditionalFormatting sqref="B26:B29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6:C29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6:D29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6:E29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6:F29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rimsha</dc:creator>
  <cp:lastModifiedBy>rimshacharania@gmail.com</cp:lastModifiedBy>
  <dcterms:created xsi:type="dcterms:W3CDTF">2025-09-27T12:53:22Z</dcterms:created>
  <dcterms:modified xsi:type="dcterms:W3CDTF">2026-02-22T07:49:14Z</dcterms:modified>
</cp:coreProperties>
</file>